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C:\Temp\"/>
    </mc:Choice>
  </mc:AlternateContent>
  <xr:revisionPtr revIDLastSave="0" documentId="8_{60F7E225-E1A1-4DC0-BC0B-D3907F9F667E}" xr6:coauthVersionLast="47" xr6:coauthVersionMax="47" xr10:uidLastSave="{00000000-0000-0000-0000-000000000000}"/>
  <bookViews>
    <workbookView xWindow="-105" yWindow="0" windowWidth="26010" windowHeight="20985" tabRatio="601" xr2:uid="{00000000-000D-0000-FFFF-FFFF00000000}"/>
  </bookViews>
  <sheets>
    <sheet name="Sheet1"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1" i="4" l="1"/>
  <c r="N21" i="4"/>
  <c r="L98" i="4"/>
  <c r="L99" i="4"/>
  <c r="L105" i="4"/>
  <c r="L104" i="4"/>
  <c r="L103" i="4"/>
  <c r="L102" i="4"/>
  <c r="L101" i="4"/>
  <c r="L100" i="4"/>
  <c r="C97" i="4"/>
  <c r="D97" i="4"/>
  <c r="T41" i="4"/>
  <c r="S41" i="4"/>
  <c r="R41" i="4"/>
  <c r="Q41" i="4"/>
  <c r="Q25" i="4"/>
  <c r="Q24" i="4"/>
  <c r="Q23" i="4"/>
  <c r="Q22" i="4"/>
  <c r="Q21" i="4"/>
  <c r="Q20" i="4"/>
  <c r="Q19" i="4"/>
  <c r="Q18" i="4"/>
  <c r="P23" i="4"/>
  <c r="P22" i="4"/>
  <c r="P25" i="4"/>
  <c r="P24" i="4"/>
  <c r="P20" i="4"/>
  <c r="P19" i="4"/>
  <c r="P18" i="4"/>
  <c r="O23" i="4"/>
  <c r="O22" i="4"/>
  <c r="O21" i="4"/>
  <c r="O25" i="4"/>
  <c r="O24" i="4"/>
  <c r="O20" i="4"/>
  <c r="O19" i="4"/>
  <c r="O18" i="4"/>
  <c r="N23" i="4"/>
  <c r="N22" i="4"/>
  <c r="N25" i="4"/>
  <c r="N24" i="4"/>
  <c r="N20" i="4"/>
  <c r="N19" i="4"/>
  <c r="N18" i="4"/>
  <c r="M25" i="4"/>
  <c r="M24" i="4"/>
  <c r="M23" i="4"/>
  <c r="M22" i="4"/>
  <c r="M21" i="4"/>
  <c r="M20" i="4"/>
  <c r="M19" i="4"/>
  <c r="M18" i="4"/>
  <c r="L25" i="4"/>
  <c r="L24" i="4"/>
  <c r="L23" i="4"/>
  <c r="L22" i="4"/>
  <c r="L21" i="4"/>
  <c r="L20" i="4"/>
  <c r="L19" i="4"/>
  <c r="L18" i="4"/>
  <c r="K23" i="4"/>
  <c r="K22" i="4"/>
  <c r="K21" i="4"/>
  <c r="K25" i="4"/>
  <c r="K24" i="4"/>
  <c r="K20" i="4"/>
  <c r="K19" i="4"/>
  <c r="K18" i="4"/>
  <c r="J25" i="4"/>
  <c r="J24" i="4"/>
  <c r="J23" i="4"/>
  <c r="J22" i="4"/>
  <c r="J21" i="4"/>
  <c r="J20" i="4"/>
  <c r="J19" i="4"/>
  <c r="J18" i="4"/>
  <c r="I23" i="4"/>
  <c r="I22" i="4"/>
  <c r="I21" i="4"/>
  <c r="I25" i="4"/>
  <c r="I24" i="4"/>
  <c r="I20" i="4"/>
  <c r="I19" i="4"/>
  <c r="I18" i="4"/>
  <c r="H25" i="4"/>
  <c r="H24" i="4"/>
  <c r="H23" i="4"/>
  <c r="H22" i="4"/>
  <c r="H21" i="4"/>
  <c r="H20" i="4"/>
  <c r="H19" i="4"/>
  <c r="H18" i="4"/>
  <c r="G23" i="4"/>
  <c r="G22" i="4"/>
  <c r="G21" i="4"/>
  <c r="G25" i="4"/>
  <c r="G24" i="4"/>
  <c r="G20" i="4"/>
  <c r="G19" i="4"/>
  <c r="G18" i="4"/>
  <c r="J17" i="4" l="1"/>
  <c r="H17" i="4"/>
  <c r="N17" i="4"/>
  <c r="Q17" i="4"/>
  <c r="M17" i="4"/>
  <c r="I17" i="4"/>
  <c r="P17" i="4"/>
  <c r="O17" i="4"/>
  <c r="K17" i="4"/>
  <c r="G17" i="4"/>
  <c r="L17" i="4"/>
  <c r="L92" i="4" l="1"/>
  <c r="L91" i="4"/>
  <c r="L90" i="4"/>
  <c r="L89" i="4"/>
  <c r="L87" i="4"/>
  <c r="L86" i="4"/>
  <c r="L85" i="4"/>
  <c r="L84" i="4"/>
  <c r="H82" i="4"/>
  <c r="H97" i="4" s="1"/>
  <c r="F82" i="4"/>
  <c r="F97" i="4" s="1"/>
  <c r="E82" i="4"/>
  <c r="E97" i="4" s="1"/>
  <c r="J82" i="4"/>
  <c r="J97" i="4" s="1"/>
  <c r="D105" i="4"/>
  <c r="D104" i="4"/>
  <c r="D103" i="4"/>
  <c r="D102" i="4"/>
  <c r="D101" i="4"/>
  <c r="D100" i="4"/>
  <c r="D99" i="4"/>
  <c r="D98" i="4"/>
  <c r="F88" i="4"/>
  <c r="J92" i="4"/>
  <c r="I92" i="4" s="1"/>
  <c r="J91" i="4"/>
  <c r="I91" i="4" s="1"/>
  <c r="J90" i="4"/>
  <c r="I90" i="4" s="1"/>
  <c r="J89" i="4"/>
  <c r="I89" i="4" s="1"/>
  <c r="J87" i="4"/>
  <c r="I87" i="4" s="1"/>
  <c r="J86" i="4"/>
  <c r="I86" i="4" s="1"/>
  <c r="J85" i="4"/>
  <c r="J84" i="4"/>
  <c r="I84" i="4" s="1"/>
  <c r="B88" i="4"/>
  <c r="D88" i="4" s="1"/>
  <c r="C83" i="4"/>
  <c r="F83" i="4" s="1"/>
  <c r="B83" i="4"/>
  <c r="H83" i="4" s="1"/>
  <c r="D85" i="4"/>
  <c r="D86" i="4"/>
  <c r="D87" i="4"/>
  <c r="D89" i="4"/>
  <c r="D90" i="4"/>
  <c r="D91" i="4"/>
  <c r="D92" i="4"/>
  <c r="D84" i="4"/>
  <c r="J83" i="4" l="1"/>
  <c r="E83" i="4"/>
  <c r="G83" i="4" s="1"/>
  <c r="K88" i="4"/>
  <c r="I85" i="4"/>
  <c r="J88" i="4"/>
  <c r="E88" i="4"/>
  <c r="G88" i="4" s="1"/>
  <c r="H88" i="4"/>
  <c r="G82" i="4"/>
  <c r="B82" i="4"/>
  <c r="B97" i="4" s="1"/>
  <c r="D83" i="4"/>
  <c r="K83" i="4" s="1"/>
  <c r="I65" i="4"/>
  <c r="I66" i="4"/>
  <c r="I67" i="4"/>
  <c r="I68" i="4"/>
  <c r="F62" i="4"/>
  <c r="E62" i="4"/>
  <c r="I64" i="4"/>
  <c r="I63" i="4"/>
  <c r="H64" i="4"/>
  <c r="H65" i="4"/>
  <c r="L65" i="4" s="1"/>
  <c r="H66" i="4"/>
  <c r="L66" i="4" s="1"/>
  <c r="H67" i="4"/>
  <c r="L67" i="4" s="1"/>
  <c r="H68" i="4"/>
  <c r="L68" i="4" s="1"/>
  <c r="H63" i="4"/>
  <c r="D64" i="4"/>
  <c r="D65" i="4"/>
  <c r="D66" i="4"/>
  <c r="D67" i="4"/>
  <c r="D68" i="4"/>
  <c r="D63" i="4"/>
  <c r="I82" i="4" l="1"/>
  <c r="G97" i="4"/>
  <c r="I97" i="4" s="1"/>
  <c r="K82" i="4"/>
  <c r="K97" i="4" s="1"/>
  <c r="I83" i="4"/>
  <c r="L83" i="4" s="1"/>
  <c r="K66" i="4"/>
  <c r="I88" i="4"/>
  <c r="L88" i="4" s="1"/>
  <c r="J63" i="4"/>
  <c r="N63" i="4" s="1"/>
  <c r="N62" i="4" s="1"/>
  <c r="J64" i="4"/>
  <c r="L64" i="4"/>
  <c r="L62" i="4" s="1"/>
  <c r="K65" i="4"/>
  <c r="G62" i="4"/>
  <c r="K64" i="4"/>
  <c r="J66" i="4"/>
  <c r="J68" i="4"/>
  <c r="M68" i="4" s="1"/>
  <c r="M62" i="4" s="1"/>
  <c r="K67" i="4"/>
  <c r="J67" i="4"/>
  <c r="J65" i="4"/>
  <c r="I62" i="4"/>
  <c r="H62" i="4"/>
  <c r="L82" i="4" l="1"/>
  <c r="L97" i="4" s="1"/>
  <c r="K62" i="4"/>
  <c r="J62" i="4"/>
  <c r="N40" i="4" l="1"/>
  <c r="M40" i="4"/>
  <c r="N48" i="4"/>
  <c r="Q48" i="4" s="1"/>
  <c r="M48" i="4"/>
  <c r="N47" i="4"/>
  <c r="Q47" i="4" s="1"/>
  <c r="M47" i="4"/>
  <c r="N46" i="4"/>
  <c r="M46" i="4"/>
  <c r="N45" i="4"/>
  <c r="M45" i="4"/>
  <c r="N44" i="4"/>
  <c r="M44" i="4"/>
  <c r="N43" i="4"/>
  <c r="Q43" i="4" s="1"/>
  <c r="M43" i="4"/>
  <c r="N42" i="4"/>
  <c r="Q42" i="4" s="1"/>
  <c r="N41" i="4"/>
  <c r="M41" i="4"/>
  <c r="M42" i="4"/>
  <c r="P48" i="4"/>
  <c r="S48" i="4" s="1"/>
  <c r="P47" i="4"/>
  <c r="S47" i="4" s="1"/>
  <c r="P46" i="4"/>
  <c r="P45" i="4"/>
  <c r="P44" i="4"/>
  <c r="P43" i="4"/>
  <c r="S43" i="4" s="1"/>
  <c r="P42" i="4"/>
  <c r="S42" i="4" s="1"/>
  <c r="P41" i="4"/>
  <c r="P40" i="4"/>
  <c r="O40" i="4"/>
  <c r="O41" i="4"/>
  <c r="O48" i="4"/>
  <c r="O47" i="4"/>
  <c r="O46" i="4"/>
  <c r="O45" i="4"/>
  <c r="O44" i="4"/>
  <c r="O43" i="4"/>
  <c r="O42" i="4"/>
  <c r="S40" i="4" l="1"/>
  <c r="R46" i="4"/>
  <c r="T46" i="4"/>
  <c r="T48" i="4"/>
  <c r="R48" i="4"/>
  <c r="T47" i="4"/>
  <c r="R43" i="4"/>
  <c r="Q40" i="4"/>
  <c r="R47" i="4"/>
  <c r="Q44" i="4"/>
  <c r="Q46" i="4"/>
  <c r="T42" i="4"/>
  <c r="R44" i="4"/>
  <c r="R45" i="4"/>
  <c r="S44" i="4"/>
  <c r="S45" i="4"/>
  <c r="S46" i="4"/>
  <c r="T44" i="4"/>
  <c r="R42" i="4"/>
  <c r="T43" i="4"/>
  <c r="T45" i="4"/>
  <c r="Q45" i="4"/>
  <c r="R40" i="4" l="1"/>
  <c r="T40" i="4"/>
</calcChain>
</file>

<file path=xl/sharedStrings.xml><?xml version="1.0" encoding="utf-8"?>
<sst xmlns="http://schemas.openxmlformats.org/spreadsheetml/2006/main" count="222" uniqueCount="91">
  <si>
    <t>Methodologies for All Asset Classes</t>
  </si>
  <si>
    <t>Time Period</t>
  </si>
  <si>
    <t>1 Day</t>
  </si>
  <si>
    <t>Weight Type</t>
  </si>
  <si>
    <t>Market Value</t>
  </si>
  <si>
    <t>Method</t>
  </si>
  <si>
    <t>Level</t>
  </si>
  <si>
    <t>Description</t>
  </si>
  <si>
    <t>Absolute</t>
  </si>
  <si>
    <t>None</t>
  </si>
  <si>
    <t>The Absolute method is used for portfolios with leverage or when allocation decisions are made independently for each sector. Allocation attribution decisions are then measured against the absolute performance of the benchmark's components within a particular sector.</t>
  </si>
  <si>
    <t>Relative</t>
  </si>
  <si>
    <t>The Relative method is used when a centrally managed portfolio management function makes a single set of simultaneous allocation decisions, balancing trade-offs between them. Allocation attribution decisions are measured against either entire benchmark (level: benchmark) or the immediate sector (level: immediate). Security selection is considered to take place within the context of the asset allocation weights.</t>
  </si>
  <si>
    <t>Relative with Interaction</t>
  </si>
  <si>
    <t>Used when a centrally managed portfolio management function makes a single set of simultaneous allocation decisions, balancing trade-offs between them. Security selection is broken into two components: a pure security selection independent of allocation decisions and an interaction term that considers the impact of allocation decisions on security selection.</t>
  </si>
  <si>
    <t>Normalized Relative</t>
  </si>
  <si>
    <t>Immediate Parent</t>
  </si>
  <si>
    <t>The Normalized Relative method is used to evaluate allocation decisions within nested subsectors independently of the parent sector's weightings. Sub-sector allocation returns are calculated by normalizing for the allocation decision of the parent-sector. It follows the Relative method but renormalizes weights at each subsector level to ensure allocation calculations are neutral to the parent sector's overweight or underweight positions.</t>
  </si>
  <si>
    <t>Hybrid</t>
  </si>
  <si>
    <t>The Hybrid Method uses the absolute method for the first layer of sectors and the relative method for the second layer of sectors.</t>
  </si>
  <si>
    <t>Outputs</t>
  </si>
  <si>
    <t>Inputs</t>
  </si>
  <si>
    <t>Method: Absolute</t>
  </si>
  <si>
    <t>Method: Relative</t>
  </si>
  <si>
    <t>Method: Relative with Interaction</t>
  </si>
  <si>
    <t>Method: Normalized Relative</t>
  </si>
  <si>
    <t>Method: Hybrid</t>
  </si>
  <si>
    <t>Market Value Weight</t>
  </si>
  <si>
    <t>Excess Return</t>
  </si>
  <si>
    <t>Level: None</t>
  </si>
  <si>
    <t>Level: Immediate Parent</t>
  </si>
  <si>
    <t>Portfolio</t>
  </si>
  <si>
    <t>Benchmark</t>
  </si>
  <si>
    <t>Active</t>
  </si>
  <si>
    <t>Allocation</t>
  </si>
  <si>
    <t>Selection</t>
  </si>
  <si>
    <t>Interaction</t>
  </si>
  <si>
    <t>Barclays Four Pillar Sectors</t>
  </si>
  <si>
    <t>Treasuries</t>
  </si>
  <si>
    <t>Government Related</t>
  </si>
  <si>
    <t>Corporates</t>
  </si>
  <si>
    <t>Industrial</t>
  </si>
  <si>
    <t>Utility</t>
  </si>
  <si>
    <t>Financial Institutions</t>
  </si>
  <si>
    <t>Securitized</t>
  </si>
  <si>
    <t>Cash Securities</t>
  </si>
  <si>
    <t>Methodologies for Fixed Income</t>
  </si>
  <si>
    <t>Spread Duration and DxS</t>
  </si>
  <si>
    <t>Hybrid / Spread Duration</t>
  </si>
  <si>
    <t>The Hybrid Spread Duration method is typically used when a portfolio's allocation is based on a risk budget with respect to spread duration. A risk weight allocation and security selection is helpful when the credit risk of the portfolio and benchmark are different within sectors.</t>
  </si>
  <si>
    <t>Hybrid / DxS</t>
  </si>
  <si>
    <t>The Hybrid DxS method is typically used when a portfolio's allocation is based on a risk budget with respect to DxS. A risk weight allocation and security selection is helpful when the credit risk of the portfolio and benchmark are different within sectors.</t>
  </si>
  <si>
    <t>Spread Duration Weight</t>
  </si>
  <si>
    <t>DxS Weight</t>
  </si>
  <si>
    <t>Excess per Spread Duration</t>
  </si>
  <si>
    <t>DxS Adjusted Excess</t>
  </si>
  <si>
    <t>Methodologies for Equity</t>
  </si>
  <si>
    <t>Index Equity</t>
  </si>
  <si>
    <t>Benchmark Total</t>
  </si>
  <si>
    <t>Excess Return Contribution</t>
  </si>
  <si>
    <t>Method: Index Equity</t>
  </si>
  <si>
    <t>Notional Mode</t>
  </si>
  <si>
    <t>Level: Benchmark Total</t>
  </si>
  <si>
    <t>Cash Drag</t>
  </si>
  <si>
    <t>Futures Basis</t>
  </si>
  <si>
    <t>S&amp;P500 EMINI MAR 24</t>
  </si>
  <si>
    <t>SONY GROUP CORP</t>
  </si>
  <si>
    <t>FUNKO INC CLASS A</t>
  </si>
  <si>
    <t>AMERICAN EXPRESS</t>
  </si>
  <si>
    <t>BASF N</t>
  </si>
  <si>
    <t>USD CASH</t>
  </si>
  <si>
    <t>Methodologies for Multi-Manager Setups</t>
  </si>
  <si>
    <t>Multi-Manager Attribution</t>
  </si>
  <si>
    <t>Extension of Brinson attribution but for fund of fund portfolios where investors' decisions are attributed as asset allocation and manager selection.</t>
  </si>
  <si>
    <t>Total Return</t>
  </si>
  <si>
    <t>Method: Allocation and Manager</t>
  </si>
  <si>
    <t>Sub-Bench</t>
  </si>
  <si>
    <t>Manager Selection</t>
  </si>
  <si>
    <t>Sector Allocation</t>
  </si>
  <si>
    <t>Security Selection</t>
  </si>
  <si>
    <t>Equity</t>
  </si>
  <si>
    <t>MSCI WORLD INDEX</t>
  </si>
  <si>
    <t>BRS-EQ-AP1</t>
  </si>
  <si>
    <t>BRS-EQ-US1</t>
  </si>
  <si>
    <t>BRS-EQ-EU1</t>
  </si>
  <si>
    <t>Fixed Income</t>
  </si>
  <si>
    <t>BBG BARC AGG</t>
  </si>
  <si>
    <t>BRS-EUCRED</t>
  </si>
  <si>
    <t>BRS-CORE1</t>
  </si>
  <si>
    <t>BRS-FI-JP1</t>
  </si>
  <si>
    <t>Typically used when a portfolio has an index equity investment style with the attribution goal of explaining active returns when they differ from zero. Sector allocation is synonymous with security misweight and security selection is synonymous with security return difference between the portfolio and the benchmark. Additional index equity factors like security lending, cash drag, security litigation, and futures basis are include in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</si>
</sst>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0"/>
      <name val="Trebuchet MS"/>
    </font>
    <font>
      <sz val="10"/>
      <name val="Arial"/>
      <family val="2"/>
    </font>
    <font>
      <b/>
      <sz val="10"/>
      <name val="Arial"/>
      <family val="2"/>
    </font>
    <font>
      <i/>
      <sz val="10"/>
      <name val="Arial"/>
      <family val="2"/>
    </font>
    <font>
      <sz val="10"/>
      <name val="Trebuchet MS"/>
      <family val="2"/>
    </font>
  </fonts>
  <fills count="8">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3" tint="0.59999389629810485"/>
        <bgColor indexed="64"/>
      </patternFill>
    </fill>
    <fill>
      <patternFill patternType="solid">
        <fgColor theme="2" tint="-0.14999847407452621"/>
        <bgColor indexed="64"/>
      </patternFill>
    </fill>
    <fill>
      <patternFill patternType="solid">
        <fgColor theme="2" tint="-0.249977111117893"/>
        <bgColor indexed="64"/>
      </patternFill>
    </fill>
    <fill>
      <patternFill patternType="solid">
        <fgColor theme="9"/>
        <bgColor indexed="64"/>
      </patternFill>
    </fill>
  </fills>
  <borders count="35">
    <border>
      <left/>
      <right/>
      <top/>
      <bottom/>
      <diagonal/>
    </border>
    <border>
      <left style="thin">
        <color indexed="64"/>
      </left>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2">
    <xf numFmtId="0" fontId="0" fillId="0" borderId="0"/>
    <xf numFmtId="9" fontId="4" fillId="0" borderId="0" applyFont="0" applyFill="0" applyBorder="0" applyAlignment="0" applyProtection="0"/>
  </cellStyleXfs>
  <cellXfs count="159">
    <xf numFmtId="0" fontId="0" fillId="0" borderId="0" xfId="0"/>
    <xf numFmtId="0" fontId="1" fillId="3" borderId="0" xfId="0" applyFont="1" applyFill="1"/>
    <xf numFmtId="0" fontId="1" fillId="3" borderId="1" xfId="0" applyFont="1" applyFill="1" applyBorder="1" applyAlignment="1">
      <alignment horizontal="center"/>
    </xf>
    <xf numFmtId="9" fontId="1" fillId="3" borderId="12" xfId="0" applyNumberFormat="1" applyFont="1" applyFill="1" applyBorder="1"/>
    <xf numFmtId="9" fontId="1" fillId="3" borderId="10" xfId="0" applyNumberFormat="1" applyFont="1" applyFill="1" applyBorder="1"/>
    <xf numFmtId="2" fontId="1" fillId="3" borderId="11" xfId="0" applyNumberFormat="1" applyFont="1" applyFill="1" applyBorder="1"/>
    <xf numFmtId="2" fontId="1" fillId="3" borderId="10" xfId="0" applyNumberFormat="1" applyFont="1" applyFill="1" applyBorder="1"/>
    <xf numFmtId="2" fontId="1" fillId="3" borderId="13" xfId="0" applyNumberFormat="1" applyFont="1" applyFill="1" applyBorder="1"/>
    <xf numFmtId="2" fontId="1" fillId="3" borderId="12" xfId="0" applyNumberFormat="1" applyFont="1" applyFill="1" applyBorder="1"/>
    <xf numFmtId="0" fontId="1" fillId="4" borderId="10" xfId="0" applyFont="1" applyFill="1" applyBorder="1"/>
    <xf numFmtId="2" fontId="1" fillId="4" borderId="12" xfId="0" applyNumberFormat="1" applyFont="1" applyFill="1" applyBorder="1"/>
    <xf numFmtId="2" fontId="1" fillId="4" borderId="13" xfId="0" applyNumberFormat="1" applyFont="1" applyFill="1" applyBorder="1"/>
    <xf numFmtId="2" fontId="1" fillId="4" borderId="11" xfId="0" applyNumberFormat="1" applyFont="1" applyFill="1" applyBorder="1"/>
    <xf numFmtId="0" fontId="1" fillId="5" borderId="10" xfId="0" applyFont="1" applyFill="1" applyBorder="1" applyAlignment="1">
      <alignment horizontal="left" indent="1"/>
    </xf>
    <xf numFmtId="2" fontId="1" fillId="5" borderId="12" xfId="0" applyNumberFormat="1" applyFont="1" applyFill="1" applyBorder="1"/>
    <xf numFmtId="2" fontId="1" fillId="5" borderId="13" xfId="0" applyNumberFormat="1" applyFont="1" applyFill="1" applyBorder="1"/>
    <xf numFmtId="2" fontId="1" fillId="5" borderId="11" xfId="0" applyNumberFormat="1" applyFont="1" applyFill="1" applyBorder="1"/>
    <xf numFmtId="2" fontId="1" fillId="5" borderId="7" xfId="0" applyNumberFormat="1" applyFont="1" applyFill="1" applyBorder="1"/>
    <xf numFmtId="2" fontId="1" fillId="5" borderId="8" xfId="0" applyNumberFormat="1" applyFont="1" applyFill="1" applyBorder="1"/>
    <xf numFmtId="2" fontId="1" fillId="5" borderId="9" xfId="0" applyNumberFormat="1" applyFont="1" applyFill="1" applyBorder="1"/>
    <xf numFmtId="9" fontId="1" fillId="5" borderId="12" xfId="0" applyNumberFormat="1" applyFont="1" applyFill="1" applyBorder="1"/>
    <xf numFmtId="9" fontId="1" fillId="5" borderId="10" xfId="0" applyNumberFormat="1" applyFont="1" applyFill="1" applyBorder="1"/>
    <xf numFmtId="2" fontId="1" fillId="5" borderId="10" xfId="0" applyNumberFormat="1" applyFont="1" applyFill="1" applyBorder="1"/>
    <xf numFmtId="0" fontId="1" fillId="5" borderId="2" xfId="0" applyFont="1" applyFill="1" applyBorder="1" applyAlignment="1">
      <alignment horizontal="left" indent="1"/>
    </xf>
    <xf numFmtId="9" fontId="1" fillId="5" borderId="7" xfId="0" applyNumberFormat="1" applyFont="1" applyFill="1" applyBorder="1"/>
    <xf numFmtId="9" fontId="1" fillId="5" borderId="15" xfId="0" applyNumberFormat="1" applyFont="1" applyFill="1" applyBorder="1"/>
    <xf numFmtId="2" fontId="1" fillId="5" borderId="15" xfId="0" applyNumberFormat="1" applyFont="1" applyFill="1" applyBorder="1"/>
    <xf numFmtId="0" fontId="1" fillId="6" borderId="10" xfId="0" applyFont="1" applyFill="1" applyBorder="1"/>
    <xf numFmtId="9" fontId="1" fillId="6" borderId="12" xfId="0" applyNumberFormat="1" applyFont="1" applyFill="1" applyBorder="1"/>
    <xf numFmtId="9" fontId="1" fillId="6" borderId="10" xfId="0" applyNumberFormat="1" applyFont="1" applyFill="1" applyBorder="1"/>
    <xf numFmtId="2" fontId="1" fillId="6" borderId="10" xfId="0" applyNumberFormat="1" applyFont="1" applyFill="1" applyBorder="1"/>
    <xf numFmtId="2" fontId="1" fillId="6" borderId="13" xfId="0" applyNumberFormat="1" applyFont="1" applyFill="1" applyBorder="1"/>
    <xf numFmtId="0" fontId="1" fillId="3" borderId="0" xfId="0" applyFont="1" applyFill="1" applyAlignment="1">
      <alignment horizontal="left" indent="1"/>
    </xf>
    <xf numFmtId="9" fontId="1" fillId="3" borderId="0" xfId="0" applyNumberFormat="1" applyFont="1" applyFill="1"/>
    <xf numFmtId="2" fontId="1" fillId="3" borderId="0" xfId="0" applyNumberFormat="1" applyFont="1" applyFill="1"/>
    <xf numFmtId="0" fontId="3" fillId="3" borderId="10" xfId="0" applyFont="1" applyFill="1" applyBorder="1" applyAlignment="1">
      <alignment horizontal="left" indent="2"/>
    </xf>
    <xf numFmtId="0" fontId="1" fillId="3" borderId="19" xfId="0" applyFont="1" applyFill="1" applyBorder="1"/>
    <xf numFmtId="0" fontId="1" fillId="3" borderId="0" xfId="0" applyFont="1" applyFill="1" applyAlignment="1">
      <alignment horizontal="left" indent="2"/>
    </xf>
    <xf numFmtId="0" fontId="1" fillId="3" borderId="0" xfId="0" applyFont="1" applyFill="1" applyAlignment="1">
      <alignment horizontal="left"/>
    </xf>
    <xf numFmtId="10" fontId="1" fillId="3" borderId="0" xfId="0" applyNumberFormat="1" applyFont="1" applyFill="1"/>
    <xf numFmtId="4" fontId="1" fillId="3" borderId="0" xfId="0" applyNumberFormat="1" applyFont="1" applyFill="1"/>
    <xf numFmtId="0" fontId="2" fillId="3" borderId="0" xfId="0" applyFont="1" applyFill="1"/>
    <xf numFmtId="9" fontId="1" fillId="6" borderId="13" xfId="0" applyNumberFormat="1" applyFont="1" applyFill="1" applyBorder="1"/>
    <xf numFmtId="9" fontId="1" fillId="5" borderId="13" xfId="0" applyNumberFormat="1" applyFont="1" applyFill="1" applyBorder="1"/>
    <xf numFmtId="9" fontId="1" fillId="3" borderId="13" xfId="0" applyNumberFormat="1" applyFont="1" applyFill="1" applyBorder="1"/>
    <xf numFmtId="9" fontId="1" fillId="5" borderId="8" xfId="0" applyNumberFormat="1" applyFont="1" applyFill="1" applyBorder="1"/>
    <xf numFmtId="2" fontId="1" fillId="6" borderId="12" xfId="0" applyNumberFormat="1" applyFont="1" applyFill="1" applyBorder="1"/>
    <xf numFmtId="10" fontId="1" fillId="3" borderId="0" xfId="1" applyNumberFormat="1" applyFont="1" applyFill="1"/>
    <xf numFmtId="164" fontId="1" fillId="3" borderId="0" xfId="0" applyNumberFormat="1" applyFont="1" applyFill="1"/>
    <xf numFmtId="2" fontId="1" fillId="4" borderId="19" xfId="0" applyNumberFormat="1" applyFont="1" applyFill="1" applyBorder="1"/>
    <xf numFmtId="2" fontId="1" fillId="5" borderId="19" xfId="0" applyNumberFormat="1" applyFont="1" applyFill="1" applyBorder="1"/>
    <xf numFmtId="2" fontId="1" fillId="3" borderId="19" xfId="0" applyNumberFormat="1" applyFont="1" applyFill="1" applyBorder="1"/>
    <xf numFmtId="2" fontId="1" fillId="4" borderId="21" xfId="0" applyNumberFormat="1" applyFont="1" applyFill="1" applyBorder="1"/>
    <xf numFmtId="2" fontId="1" fillId="5" borderId="21" xfId="0" applyNumberFormat="1" applyFont="1" applyFill="1" applyBorder="1"/>
    <xf numFmtId="2" fontId="1" fillId="3" borderId="21" xfId="0" applyNumberFormat="1" applyFont="1" applyFill="1" applyBorder="1"/>
    <xf numFmtId="2" fontId="1" fillId="5" borderId="22" xfId="0" applyNumberFormat="1" applyFont="1" applyFill="1" applyBorder="1"/>
    <xf numFmtId="2" fontId="1" fillId="5" borderId="23" xfId="0" applyNumberFormat="1" applyFont="1" applyFill="1" applyBorder="1"/>
    <xf numFmtId="0" fontId="1" fillId="3" borderId="2" xfId="0" applyFont="1" applyFill="1" applyBorder="1" applyAlignment="1">
      <alignment horizontal="left" indent="1"/>
    </xf>
    <xf numFmtId="9" fontId="1" fillId="3" borderId="10" xfId="1" applyFont="1" applyFill="1" applyBorder="1"/>
    <xf numFmtId="0" fontId="1" fillId="3" borderId="10" xfId="0" applyFont="1" applyFill="1" applyBorder="1" applyAlignment="1">
      <alignment horizontal="left" indent="1"/>
    </xf>
    <xf numFmtId="9" fontId="1" fillId="3" borderId="13" xfId="1" applyFont="1" applyFill="1" applyBorder="1"/>
    <xf numFmtId="9" fontId="1" fillId="3" borderId="7" xfId="0" applyNumberFormat="1" applyFont="1" applyFill="1" applyBorder="1"/>
    <xf numFmtId="9" fontId="1" fillId="3" borderId="15" xfId="1" applyFont="1" applyFill="1" applyBorder="1"/>
    <xf numFmtId="9" fontId="1" fillId="3" borderId="8" xfId="1" applyFont="1" applyFill="1" applyBorder="1"/>
    <xf numFmtId="2" fontId="1" fillId="3" borderId="12" xfId="1" applyNumberFormat="1" applyFont="1" applyFill="1" applyBorder="1"/>
    <xf numFmtId="2" fontId="1" fillId="3" borderId="7" xfId="1" applyNumberFormat="1" applyFont="1" applyFill="1" applyBorder="1"/>
    <xf numFmtId="2" fontId="1" fillId="3" borderId="15" xfId="0" applyNumberFormat="1" applyFont="1" applyFill="1" applyBorder="1"/>
    <xf numFmtId="2" fontId="1" fillId="3" borderId="8" xfId="0" applyNumberFormat="1" applyFont="1" applyFill="1" applyBorder="1"/>
    <xf numFmtId="2" fontId="1" fillId="3" borderId="7" xfId="0" applyNumberFormat="1" applyFont="1" applyFill="1" applyBorder="1"/>
    <xf numFmtId="10" fontId="1" fillId="3" borderId="5" xfId="1" applyNumberFormat="1" applyFont="1" applyFill="1" applyBorder="1" applyAlignment="1">
      <alignment horizontal="center"/>
    </xf>
    <xf numFmtId="9" fontId="1" fillId="4" borderId="12" xfId="0" applyNumberFormat="1" applyFont="1" applyFill="1" applyBorder="1"/>
    <xf numFmtId="9" fontId="1" fillId="4" borderId="10" xfId="1" applyFont="1" applyFill="1" applyBorder="1"/>
    <xf numFmtId="9" fontId="1" fillId="4" borderId="13" xfId="1" applyFont="1" applyFill="1" applyBorder="1"/>
    <xf numFmtId="2" fontId="1" fillId="4" borderId="12" xfId="1" applyNumberFormat="1" applyFont="1" applyFill="1" applyBorder="1"/>
    <xf numFmtId="2" fontId="1" fillId="4" borderId="10" xfId="1" applyNumberFormat="1" applyFont="1" applyFill="1" applyBorder="1"/>
    <xf numFmtId="2" fontId="1" fillId="4" borderId="13" xfId="1" applyNumberFormat="1" applyFont="1" applyFill="1" applyBorder="1"/>
    <xf numFmtId="2" fontId="1" fillId="4" borderId="10" xfId="0" applyNumberFormat="1" applyFont="1" applyFill="1" applyBorder="1"/>
    <xf numFmtId="10" fontId="2" fillId="3" borderId="0" xfId="0" applyNumberFormat="1" applyFont="1" applyFill="1"/>
    <xf numFmtId="0" fontId="1" fillId="3" borderId="6" xfId="0" applyFont="1" applyFill="1" applyBorder="1"/>
    <xf numFmtId="0" fontId="1" fillId="3" borderId="5" xfId="0" applyFont="1" applyFill="1" applyBorder="1"/>
    <xf numFmtId="0" fontId="1" fillId="3" borderId="15" xfId="0" applyFont="1" applyFill="1" applyBorder="1"/>
    <xf numFmtId="9" fontId="1" fillId="3" borderId="7" xfId="1" applyFont="1" applyFill="1" applyBorder="1" applyAlignment="1"/>
    <xf numFmtId="9" fontId="1" fillId="3" borderId="15" xfId="1" applyFont="1" applyFill="1" applyBorder="1" applyAlignment="1"/>
    <xf numFmtId="9" fontId="1" fillId="3" borderId="8" xfId="1" applyFont="1" applyFill="1" applyBorder="1" applyAlignment="1"/>
    <xf numFmtId="9" fontId="1" fillId="4" borderId="25" xfId="1" applyFont="1" applyFill="1" applyBorder="1" applyAlignment="1"/>
    <xf numFmtId="9" fontId="1" fillId="4" borderId="24" xfId="1" applyFont="1" applyFill="1" applyBorder="1" applyAlignment="1"/>
    <xf numFmtId="9" fontId="1" fillId="4" borderId="26" xfId="1" applyFont="1" applyFill="1" applyBorder="1" applyAlignment="1"/>
    <xf numFmtId="2" fontId="1" fillId="4" borderId="25" xfId="0" applyNumberFormat="1" applyFont="1" applyFill="1" applyBorder="1"/>
    <xf numFmtId="2" fontId="1" fillId="4" borderId="24" xfId="0" applyNumberFormat="1" applyFont="1" applyFill="1" applyBorder="1"/>
    <xf numFmtId="2" fontId="1" fillId="4" borderId="26" xfId="0" applyNumberFormat="1" applyFont="1" applyFill="1" applyBorder="1"/>
    <xf numFmtId="0" fontId="1" fillId="4" borderId="26" xfId="0" applyFont="1" applyFill="1" applyBorder="1"/>
    <xf numFmtId="0" fontId="1" fillId="5" borderId="24" xfId="0" applyFont="1" applyFill="1" applyBorder="1" applyAlignment="1">
      <alignment horizontal="left" indent="1"/>
    </xf>
    <xf numFmtId="9" fontId="1" fillId="5" borderId="25" xfId="1" applyFont="1" applyFill="1" applyBorder="1" applyAlignment="1"/>
    <xf numFmtId="9" fontId="1" fillId="5" borderId="24" xfId="1" applyFont="1" applyFill="1" applyBorder="1" applyAlignment="1"/>
    <xf numFmtId="9" fontId="1" fillId="5" borderId="26" xfId="1" applyFont="1" applyFill="1" applyBorder="1" applyAlignment="1"/>
    <xf numFmtId="2" fontId="1" fillId="5" borderId="25" xfId="0" applyNumberFormat="1" applyFont="1" applyFill="1" applyBorder="1"/>
    <xf numFmtId="2" fontId="1" fillId="5" borderId="24" xfId="0" applyNumberFormat="1" applyFont="1" applyFill="1" applyBorder="1"/>
    <xf numFmtId="2" fontId="1" fillId="5" borderId="26" xfId="0" applyNumberFormat="1" applyFont="1" applyFill="1" applyBorder="1"/>
    <xf numFmtId="0" fontId="3" fillId="3" borderId="24" xfId="0" applyFont="1" applyFill="1" applyBorder="1" applyAlignment="1">
      <alignment horizontal="left" indent="2"/>
    </xf>
    <xf numFmtId="9" fontId="1" fillId="3" borderId="25" xfId="1" applyFont="1" applyFill="1" applyBorder="1" applyAlignment="1"/>
    <xf numFmtId="9" fontId="1" fillId="3" borderId="24" xfId="1" applyFont="1" applyFill="1" applyBorder="1" applyAlignment="1"/>
    <xf numFmtId="9" fontId="1" fillId="3" borderId="26" xfId="1" applyFont="1" applyFill="1" applyBorder="1" applyAlignment="1"/>
    <xf numFmtId="2" fontId="1" fillId="3" borderId="25" xfId="0" applyNumberFormat="1" applyFont="1" applyFill="1" applyBorder="1"/>
    <xf numFmtId="2" fontId="1" fillId="3" borderId="24" xfId="0" applyNumberFormat="1" applyFont="1" applyFill="1" applyBorder="1"/>
    <xf numFmtId="2" fontId="1" fillId="3" borderId="26" xfId="0" applyNumberFormat="1" applyFont="1" applyFill="1" applyBorder="1"/>
    <xf numFmtId="0" fontId="1" fillId="3" borderId="24" xfId="0" applyFont="1" applyFill="1" applyBorder="1"/>
    <xf numFmtId="0" fontId="3" fillId="3" borderId="20" xfId="0" applyFont="1" applyFill="1" applyBorder="1" applyAlignment="1">
      <alignment horizontal="left" indent="2"/>
    </xf>
    <xf numFmtId="9" fontId="1" fillId="3" borderId="12" xfId="1" applyFont="1" applyFill="1" applyBorder="1" applyAlignment="1"/>
    <xf numFmtId="9" fontId="1" fillId="3" borderId="10" xfId="1" applyFont="1" applyFill="1" applyBorder="1" applyAlignment="1"/>
    <xf numFmtId="9" fontId="1" fillId="3" borderId="13" xfId="1" applyFont="1" applyFill="1" applyBorder="1" applyAlignment="1"/>
    <xf numFmtId="0" fontId="1" fillId="3" borderId="10" xfId="0" applyFont="1" applyFill="1" applyBorder="1"/>
    <xf numFmtId="0" fontId="2" fillId="3" borderId="4" xfId="0" applyFont="1" applyFill="1" applyBorder="1" applyAlignment="1">
      <alignment horizontal="center"/>
    </xf>
    <xf numFmtId="0" fontId="1" fillId="3" borderId="0" xfId="0" applyFont="1" applyFill="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2" fillId="3" borderId="0" xfId="0" applyFont="1" applyFill="1" applyAlignment="1">
      <alignment horizontal="left"/>
    </xf>
    <xf numFmtId="0" fontId="2" fillId="3" borderId="19" xfId="0" applyFont="1" applyFill="1" applyBorder="1"/>
    <xf numFmtId="0" fontId="1" fillId="3" borderId="29" xfId="0" applyFont="1" applyFill="1" applyBorder="1" applyAlignment="1">
      <alignment horizontal="center"/>
    </xf>
    <xf numFmtId="0" fontId="1" fillId="3" borderId="30" xfId="0" applyFont="1" applyFill="1" applyBorder="1" applyAlignment="1">
      <alignment horizontal="center"/>
    </xf>
    <xf numFmtId="2" fontId="1" fillId="4" borderId="31" xfId="0" applyNumberFormat="1" applyFont="1" applyFill="1" applyBorder="1"/>
    <xf numFmtId="2" fontId="1" fillId="4" borderId="32" xfId="0" applyNumberFormat="1" applyFont="1" applyFill="1" applyBorder="1"/>
    <xf numFmtId="2" fontId="1" fillId="5" borderId="31" xfId="0" applyNumberFormat="1" applyFont="1" applyFill="1" applyBorder="1"/>
    <xf numFmtId="2" fontId="1" fillId="5" borderId="32" xfId="0" applyNumberFormat="1" applyFont="1" applyFill="1" applyBorder="1"/>
    <xf numFmtId="2" fontId="1" fillId="3" borderId="31" xfId="0" applyNumberFormat="1" applyFont="1" applyFill="1" applyBorder="1"/>
    <xf numFmtId="2" fontId="1" fillId="3" borderId="32" xfId="0" applyNumberFormat="1" applyFont="1" applyFill="1" applyBorder="1"/>
    <xf numFmtId="2" fontId="1" fillId="5" borderId="33" xfId="0" applyNumberFormat="1" applyFont="1" applyFill="1" applyBorder="1"/>
    <xf numFmtId="2" fontId="1" fillId="5" borderId="34" xfId="0" applyNumberFormat="1" applyFont="1" applyFill="1" applyBorder="1"/>
    <xf numFmtId="0" fontId="2" fillId="3" borderId="11" xfId="0" applyFont="1" applyFill="1" applyBorder="1"/>
    <xf numFmtId="0" fontId="2" fillId="3" borderId="19" xfId="0" applyFont="1" applyFill="1" applyBorder="1" applyAlignment="1">
      <alignment horizontal="left"/>
    </xf>
    <xf numFmtId="0" fontId="1" fillId="3" borderId="19" xfId="0" applyFont="1" applyFill="1" applyBorder="1" applyAlignment="1">
      <alignment horizontal="left"/>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0" xfId="0" applyFont="1" applyFill="1" applyAlignment="1">
      <alignment horizontal="center"/>
    </xf>
    <xf numFmtId="0" fontId="2" fillId="3" borderId="6" xfId="0" applyFont="1" applyFill="1" applyBorder="1" applyAlignment="1">
      <alignment horizontal="center"/>
    </xf>
    <xf numFmtId="0" fontId="2" fillId="7" borderId="16" xfId="0" applyFont="1" applyFill="1" applyBorder="1" applyAlignment="1">
      <alignment horizontal="center"/>
    </xf>
    <xf numFmtId="0" fontId="2" fillId="7" borderId="17" xfId="0" applyFont="1" applyFill="1" applyBorder="1" applyAlignment="1">
      <alignment horizontal="center"/>
    </xf>
    <xf numFmtId="0" fontId="2" fillId="7" borderId="18" xfId="0" applyFont="1" applyFill="1" applyBorder="1" applyAlignment="1">
      <alignment horizontal="center"/>
    </xf>
    <xf numFmtId="0" fontId="2" fillId="3" borderId="14" xfId="0" applyFont="1" applyFill="1" applyBorder="1" applyAlignment="1">
      <alignment horizontal="center"/>
    </xf>
    <xf numFmtId="0" fontId="2" fillId="3" borderId="5" xfId="0" applyFont="1" applyFill="1" applyBorder="1" applyAlignment="1">
      <alignment horizontal="center"/>
    </xf>
    <xf numFmtId="0" fontId="1" fillId="3" borderId="3" xfId="0" applyFont="1" applyFill="1" applyBorder="1" applyAlignment="1">
      <alignment horizontal="center"/>
    </xf>
    <xf numFmtId="0" fontId="1" fillId="3" borderId="14" xfId="0" applyFont="1" applyFill="1" applyBorder="1" applyAlignment="1">
      <alignment horizontal="center"/>
    </xf>
    <xf numFmtId="0" fontId="1" fillId="3" borderId="4" xfId="0" applyFont="1" applyFill="1" applyBorder="1" applyAlignment="1">
      <alignment horizontal="center"/>
    </xf>
    <xf numFmtId="0" fontId="2" fillId="3" borderId="0" xfId="0" applyFont="1" applyFill="1" applyAlignment="1">
      <alignment horizontal="left"/>
    </xf>
    <xf numFmtId="0" fontId="2" fillId="2" borderId="16" xfId="0" applyFont="1" applyFill="1" applyBorder="1" applyAlignment="1">
      <alignment horizontal="center"/>
    </xf>
    <xf numFmtId="0" fontId="2" fillId="2" borderId="17" xfId="0" applyFont="1" applyFill="1" applyBorder="1" applyAlignment="1">
      <alignment horizontal="center"/>
    </xf>
    <xf numFmtId="0" fontId="2" fillId="2" borderId="18" xfId="0" applyFont="1" applyFill="1" applyBorder="1" applyAlignment="1">
      <alignment horizontal="center"/>
    </xf>
    <xf numFmtId="0" fontId="2" fillId="2" borderId="14" xfId="0" applyFont="1" applyFill="1" applyBorder="1" applyAlignment="1">
      <alignment horizontal="center"/>
    </xf>
    <xf numFmtId="0" fontId="2" fillId="2" borderId="4" xfId="0" applyFont="1" applyFill="1" applyBorder="1" applyAlignment="1">
      <alignment horizontal="center"/>
    </xf>
    <xf numFmtId="0" fontId="1" fillId="3" borderId="0" xfId="0" applyFont="1" applyFill="1" applyAlignment="1">
      <alignment horizontal="center"/>
    </xf>
    <xf numFmtId="0" fontId="1" fillId="3" borderId="5" xfId="0" applyFont="1" applyFill="1" applyBorder="1" applyAlignment="1">
      <alignment horizontal="center"/>
    </xf>
    <xf numFmtId="0" fontId="1" fillId="3" borderId="27" xfId="0" applyFont="1" applyFill="1" applyBorder="1" applyAlignment="1">
      <alignment horizontal="center"/>
    </xf>
    <xf numFmtId="0" fontId="1" fillId="3" borderId="28" xfId="0" applyFont="1" applyFill="1" applyBorder="1" applyAlignment="1">
      <alignment horizontal="center"/>
    </xf>
    <xf numFmtId="0" fontId="1" fillId="3" borderId="6" xfId="0" applyFont="1" applyFill="1" applyBorder="1" applyAlignment="1">
      <alignment horizontal="center"/>
    </xf>
    <xf numFmtId="10" fontId="2" fillId="3" borderId="3" xfId="1" applyNumberFormat="1" applyFont="1" applyFill="1" applyBorder="1" applyAlignment="1">
      <alignment horizontal="center"/>
    </xf>
    <xf numFmtId="10" fontId="2" fillId="3" borderId="14" xfId="1" applyNumberFormat="1" applyFont="1" applyFill="1" applyBorder="1" applyAlignment="1">
      <alignment horizontal="center"/>
    </xf>
    <xf numFmtId="10" fontId="2" fillId="3" borderId="4" xfId="1" applyNumberFormat="1" applyFont="1" applyFill="1" applyBorder="1" applyAlignment="1">
      <alignment horizontal="center"/>
    </xf>
    <xf numFmtId="10" fontId="2" fillId="3" borderId="5" xfId="1" applyNumberFormat="1" applyFont="1" applyFill="1" applyBorder="1" applyAlignment="1">
      <alignment horizontal="center"/>
    </xf>
    <xf numFmtId="10" fontId="2" fillId="3" borderId="0" xfId="1" applyNumberFormat="1" applyFont="1" applyFill="1" applyBorder="1" applyAlignment="1">
      <alignment horizontal="center"/>
    </xf>
    <xf numFmtId="10" fontId="2" fillId="3" borderId="6" xfId="1" applyNumberFormat="1"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51B5E0"/>
      <rgbColor rgb="00000000"/>
      <rgbColor rgb="00B4C615"/>
      <rgbColor rgb="00FFFFFF"/>
      <rgbColor rgb="009CCA59"/>
      <rgbColor rgb="00FFFFFF"/>
      <rgbColor rgb="00CCD963"/>
      <rgbColor rgb="00FFFFFF"/>
      <rgbColor rgb="00444F51"/>
      <rgbColor rgb="004B5593"/>
      <rgbColor rgb="007C1E3F"/>
      <rgbColor rgb="0078C9E5"/>
      <rgbColor rgb="00FFD994"/>
      <rgbColor rgb="00F1975A"/>
      <rgbColor rgb="00FFFFFF"/>
      <rgbColor rgb="00A35F78"/>
      <rgbColor rgb="0051B5E0"/>
      <rgbColor rgb="0025328E"/>
      <rgbColor rgb="00E87511"/>
      <rgbColor rgb="007FBA00"/>
      <rgbColor rgb="00FCB514"/>
      <rgbColor rgb="007C1E3F"/>
      <rgbColor rgb="00444F51"/>
      <rgbColor rgb="00ADAFAA"/>
      <rgbColor rgb="0051B5E0"/>
      <rgbColor rgb="0025328E"/>
      <rgbColor rgb="00E87511"/>
      <rgbColor rgb="007FBA00"/>
      <rgbColor rgb="00FCB514"/>
      <rgbColor rgb="007C1E3F"/>
      <rgbColor rgb="00444F51"/>
      <rgbColor rgb="00ADAFAA"/>
      <rgbColor rgb="00FFFFFF"/>
      <rgbColor rgb="00FFFFFF"/>
      <rgbColor rgb="00FFFFFF"/>
      <rgbColor rgb="00FFFFFF"/>
      <rgbColor rgb="00FFFFFF"/>
      <rgbColor rgb="00FFFFFF"/>
      <rgbColor rgb="00FFFFFF"/>
      <rgbColor rgb="00FFFFFF"/>
      <rgbColor rgb="00BDDB8B"/>
      <rgbColor rgb="00F6B98F"/>
      <rgbColor rgb="00A5DBED"/>
      <rgbColor rgb="00A0A070"/>
      <rgbColor rgb="00757634"/>
      <rgbColor rgb="00ADAFAA"/>
      <rgbColor rgb="00FFC764"/>
      <rgbColor rgb="00BD8E9F"/>
      <rgbColor rgb="00FCB514"/>
      <rgbColor rgb="00858DB6"/>
      <rgbColor rgb="007FBA00"/>
      <rgbColor rgb="00E87511"/>
      <rgbColor rgb="0025328E"/>
      <rgbColor rgb="00FFFFFF"/>
      <rgbColor rgb="00AABA0A"/>
      <rgbColor rgb="00605E11"/>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BlackRock">
  <a:themeElements>
    <a:clrScheme name="BlackRock Colour Wheel">
      <a:dk1>
        <a:srgbClr val="000000"/>
      </a:dk1>
      <a:lt1>
        <a:srgbClr val="FFFFFF"/>
      </a:lt1>
      <a:dk2>
        <a:srgbClr val="4F4E50"/>
      </a:dk2>
      <a:lt2>
        <a:srgbClr val="FFFFFF"/>
      </a:lt2>
      <a:accent1>
        <a:srgbClr val="009A3D"/>
      </a:accent1>
      <a:accent2>
        <a:srgbClr val="0079C1"/>
      </a:accent2>
      <a:accent3>
        <a:srgbClr val="6C207E"/>
      </a:accent3>
      <a:accent4>
        <a:srgbClr val="E31B23"/>
      </a:accent4>
      <a:accent5>
        <a:srgbClr val="F8971D"/>
      </a:accent5>
      <a:accent6>
        <a:srgbClr val="FFD200"/>
      </a:accent6>
      <a:hlink>
        <a:srgbClr val="0079C1"/>
      </a:hlink>
      <a:folHlink>
        <a:srgbClr val="009A3D"/>
      </a:folHlink>
    </a:clrScheme>
    <a:fontScheme name="BlackRock">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lumMod val="85000"/>
          </a:schemeClr>
        </a:solidFill>
        <a:ln w="25400" cap="flat" cmpd="sng" algn="ctr">
          <a:noFill/>
          <a:prstDash val="solid"/>
        </a:ln>
        <a:effectLst/>
      </a:spPr>
      <a:bodyPr rot="0" spcFirstLastPara="0" vertOverflow="overflow" horzOverflow="overflow" vert="horz" wrap="square" lIns="72000" tIns="36000" rIns="72000" bIns="36000" numCol="1" spcCol="0" rtlCol="0" fromWordArt="0" anchor="ctr" anchorCtr="1" forceAA="0" compatLnSpc="1">
        <a:prstTxWarp prst="textNoShape">
          <a:avLst/>
        </a:prstTxWarp>
        <a:noAutofit/>
      </a:bodyPr>
      <a:lstStyle>
        <a:defPPr algn="ctr">
          <a:defRPr sz="1000" b="1" kern="0">
            <a:solidFill>
              <a:schemeClr val="tx2"/>
            </a:solidFill>
          </a:defRPr>
        </a:defPPr>
      </a:lstStyle>
    </a:spDef>
    <a:lnDef>
      <a:spPr>
        <a:ln>
          <a:solidFill>
            <a:srgbClr val="D9D9D9"/>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none" rtlCol="0">
        <a:spAutoFit/>
      </a:bodyPr>
      <a:lstStyle>
        <a:defPPr marL="171450" indent="-171450">
          <a:buClr>
            <a:schemeClr val="tx2"/>
          </a:buClr>
          <a:buFont typeface="Wingdings 3" pitchFamily="18" charset="2"/>
          <a:buChar char="}"/>
          <a:defRPr sz="1200">
            <a:solidFill>
              <a:schemeClr val="tx2"/>
            </a:solidFill>
          </a:defRPr>
        </a:defPPr>
      </a:lstStyle>
    </a:txDef>
  </a:objectDefaults>
  <a:extraClrSchemeLst/>
  <a:custClrLst>
    <a:custClr name="BLK 7">
      <a:srgbClr val="59BD81"/>
    </a:custClr>
    <a:custClr name="BLK 8">
      <a:srgbClr val="59A7D7"/>
    </a:custClr>
    <a:custClr name="BLK 9">
      <a:srgbClr val="9F6FAA"/>
    </a:custClr>
    <a:custClr name="BLK 10">
      <a:srgbClr val="ED6B70"/>
    </a:custClr>
    <a:custClr name="BLK 11">
      <a:srgbClr val="FABB6B"/>
    </a:custClr>
    <a:custClr name="BLK 12">
      <a:srgbClr val="FFE159"/>
    </a:custClr>
    <a:custClr name="BLK 13">
      <a:srgbClr val="B3E0C5"/>
    </a:custClr>
    <a:custClr name="BLK 14">
      <a:srgbClr val="B3D6ED"/>
    </a:custClr>
    <a:custClr name="BLK 15">
      <a:srgbClr val="D3BCD8"/>
    </a:custClr>
    <a:custClr name="BLK 16">
      <a:srgbClr val="F39B9D"/>
    </a:custClr>
    <a:custClr name="BLK 17">
      <a:srgbClr val="FDE0BB"/>
    </a:custClr>
    <a:custClr name="BLK 18">
      <a:srgbClr val="FFF1B3"/>
    </a:custClr>
    <a:custClr name="G1">
      <a:srgbClr val="7F7F7F"/>
    </a:custClr>
    <a:custClr name="G2">
      <a:srgbClr val="D9D9D9"/>
    </a:custClr>
    <a:custClr name="G3">
      <a:srgbClr val="F2F2F2"/>
    </a:custClr>
  </a:custClr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25"/>
  <sheetViews>
    <sheetView tabSelected="1" topLeftCell="A18" workbookViewId="0">
      <selection activeCell="C56" sqref="C56:AI56"/>
    </sheetView>
  </sheetViews>
  <sheetFormatPr defaultRowHeight="12.75" outlineLevelRow="1" x14ac:dyDescent="0.2"/>
  <cols>
    <col min="1" max="1" width="24.7109375" style="1" bestFit="1" customWidth="1"/>
    <col min="2" max="2" width="16.7109375" style="1" customWidth="1"/>
    <col min="3" max="3" width="15.85546875" style="1" customWidth="1"/>
    <col min="4" max="8" width="10.7109375" style="1" customWidth="1"/>
    <col min="9" max="9" width="13.7109375" style="1" customWidth="1"/>
    <col min="10" max="12" width="16.7109375" style="1" customWidth="1"/>
    <col min="13" max="13" width="12.7109375" style="1" customWidth="1"/>
    <col min="14" max="15" width="14.7109375" style="1" customWidth="1"/>
    <col min="16" max="17" width="12.7109375" style="1" customWidth="1"/>
    <col min="18" max="18" width="11.140625" style="1" bestFit="1" customWidth="1"/>
    <col min="19" max="19" width="14.5703125" style="1" customWidth="1"/>
    <col min="20" max="20" width="12.7109375" style="1" customWidth="1"/>
    <col min="21" max="16384" width="9.140625" style="1"/>
  </cols>
  <sheetData>
    <row r="1" spans="1:35" x14ac:dyDescent="0.2">
      <c r="A1" s="142" t="s">
        <v>0</v>
      </c>
      <c r="B1" s="142"/>
      <c r="C1" s="142"/>
    </row>
    <row r="2" spans="1:35" outlineLevel="1" x14ac:dyDescent="0.2"/>
    <row r="3" spans="1:35" outlineLevel="1" x14ac:dyDescent="0.2">
      <c r="A3" s="41" t="s">
        <v>1</v>
      </c>
      <c r="B3" s="41" t="s">
        <v>2</v>
      </c>
    </row>
    <row r="4" spans="1:35" outlineLevel="1" x14ac:dyDescent="0.2">
      <c r="A4" s="41" t="s">
        <v>3</v>
      </c>
      <c r="B4" s="41" t="s">
        <v>4</v>
      </c>
    </row>
    <row r="5" spans="1:35" outlineLevel="1" x14ac:dyDescent="0.2">
      <c r="A5" s="41"/>
      <c r="B5" s="41"/>
    </row>
    <row r="6" spans="1:35" ht="12.75" customHeight="1" outlineLevel="1" x14ac:dyDescent="0.2">
      <c r="A6" s="116" t="s">
        <v>5</v>
      </c>
      <c r="B6" s="127" t="s">
        <v>6</v>
      </c>
      <c r="C6" s="128" t="s">
        <v>7</v>
      </c>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row>
    <row r="7" spans="1:35" ht="12.75" customHeight="1" outlineLevel="1" x14ac:dyDescent="0.2">
      <c r="A7" s="36" t="s">
        <v>8</v>
      </c>
      <c r="B7" s="36" t="s">
        <v>9</v>
      </c>
      <c r="C7" s="129" t="s">
        <v>10</v>
      </c>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row>
    <row r="8" spans="1:35" ht="12.75" customHeight="1" outlineLevel="1" x14ac:dyDescent="0.2">
      <c r="A8" s="36" t="s">
        <v>11</v>
      </c>
      <c r="B8" s="36" t="s">
        <v>16</v>
      </c>
      <c r="C8" s="129" t="s">
        <v>12</v>
      </c>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row>
    <row r="9" spans="1:35" ht="12.75" customHeight="1" outlineLevel="1" x14ac:dyDescent="0.2">
      <c r="A9" s="36" t="s">
        <v>13</v>
      </c>
      <c r="B9" s="36" t="s">
        <v>16</v>
      </c>
      <c r="C9" s="129" t="s">
        <v>14</v>
      </c>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row>
    <row r="10" spans="1:35" ht="12.75" customHeight="1" outlineLevel="1" x14ac:dyDescent="0.2">
      <c r="A10" s="36" t="s">
        <v>15</v>
      </c>
      <c r="B10" s="36" t="s">
        <v>16</v>
      </c>
      <c r="C10" s="129" t="s">
        <v>17</v>
      </c>
      <c r="D10" s="129"/>
      <c r="E10" s="129"/>
      <c r="F10" s="129"/>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c r="AE10" s="129"/>
      <c r="AF10" s="129"/>
      <c r="AG10" s="129"/>
      <c r="AH10" s="129"/>
      <c r="AI10" s="129"/>
    </row>
    <row r="11" spans="1:35" ht="12.75" customHeight="1" outlineLevel="1" x14ac:dyDescent="0.2">
      <c r="A11" s="36" t="s">
        <v>18</v>
      </c>
      <c r="B11" s="36" t="s">
        <v>16</v>
      </c>
      <c r="C11" s="129" t="s">
        <v>19</v>
      </c>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row>
    <row r="12" spans="1:35" ht="13.5" outlineLevel="1" thickBot="1" x14ac:dyDescent="0.25"/>
    <row r="13" spans="1:35" ht="13.5" outlineLevel="1" thickBot="1" x14ac:dyDescent="0.25">
      <c r="G13" s="134" t="s">
        <v>20</v>
      </c>
      <c r="H13" s="135"/>
      <c r="I13" s="135"/>
      <c r="J13" s="135"/>
      <c r="K13" s="135"/>
      <c r="L13" s="135"/>
      <c r="M13" s="135"/>
      <c r="N13" s="135"/>
      <c r="O13" s="135"/>
      <c r="P13" s="135"/>
      <c r="Q13" s="136"/>
    </row>
    <row r="14" spans="1:35" ht="13.5" outlineLevel="1" thickBot="1" x14ac:dyDescent="0.25">
      <c r="B14" s="134" t="s">
        <v>21</v>
      </c>
      <c r="C14" s="135"/>
      <c r="D14" s="135"/>
      <c r="E14" s="135"/>
      <c r="F14" s="136"/>
      <c r="G14" s="130" t="s">
        <v>22</v>
      </c>
      <c r="H14" s="131"/>
      <c r="I14" s="130" t="s">
        <v>23</v>
      </c>
      <c r="J14" s="131"/>
      <c r="K14" s="130" t="s">
        <v>24</v>
      </c>
      <c r="L14" s="137"/>
      <c r="M14" s="131"/>
      <c r="N14" s="130" t="s">
        <v>25</v>
      </c>
      <c r="O14" s="131"/>
      <c r="P14" s="130" t="s">
        <v>26</v>
      </c>
      <c r="Q14" s="131"/>
    </row>
    <row r="15" spans="1:35" outlineLevel="1" x14ac:dyDescent="0.2">
      <c r="B15" s="139" t="s">
        <v>27</v>
      </c>
      <c r="C15" s="140"/>
      <c r="D15" s="141"/>
      <c r="E15" s="139" t="s">
        <v>28</v>
      </c>
      <c r="F15" s="141"/>
      <c r="G15" s="138" t="s">
        <v>29</v>
      </c>
      <c r="H15" s="133"/>
      <c r="I15" s="138" t="s">
        <v>30</v>
      </c>
      <c r="J15" s="133"/>
      <c r="K15" s="138" t="s">
        <v>30</v>
      </c>
      <c r="L15" s="132"/>
      <c r="M15" s="133"/>
      <c r="N15" s="138" t="s">
        <v>30</v>
      </c>
      <c r="O15" s="133"/>
      <c r="P15" s="138" t="s">
        <v>30</v>
      </c>
      <c r="Q15" s="133"/>
    </row>
    <row r="16" spans="1:35" outlineLevel="1" x14ac:dyDescent="0.2">
      <c r="B16" s="113" t="s">
        <v>31</v>
      </c>
      <c r="C16" s="112" t="s">
        <v>32</v>
      </c>
      <c r="D16" s="114" t="s">
        <v>33</v>
      </c>
      <c r="E16" s="113" t="s">
        <v>31</v>
      </c>
      <c r="F16" s="114" t="s">
        <v>32</v>
      </c>
      <c r="G16" s="113" t="s">
        <v>34</v>
      </c>
      <c r="H16" s="114" t="s">
        <v>35</v>
      </c>
      <c r="I16" s="113" t="s">
        <v>34</v>
      </c>
      <c r="J16" s="114" t="s">
        <v>35</v>
      </c>
      <c r="K16" s="113" t="s">
        <v>34</v>
      </c>
      <c r="L16" s="112" t="s">
        <v>35</v>
      </c>
      <c r="M16" s="114" t="s">
        <v>36</v>
      </c>
      <c r="N16" s="113" t="s">
        <v>34</v>
      </c>
      <c r="O16" s="114" t="s">
        <v>35</v>
      </c>
      <c r="P16" s="113" t="s">
        <v>34</v>
      </c>
      <c r="Q16" s="114" t="s">
        <v>35</v>
      </c>
    </row>
    <row r="17" spans="1:35" outlineLevel="1" x14ac:dyDescent="0.2">
      <c r="A17" s="27" t="s">
        <v>37</v>
      </c>
      <c r="B17" s="28">
        <v>1</v>
      </c>
      <c r="C17" s="29">
        <v>1</v>
      </c>
      <c r="D17" s="42">
        <v>0</v>
      </c>
      <c r="E17" s="46">
        <v>3.282009</v>
      </c>
      <c r="F17" s="31">
        <v>1.8904190000000001</v>
      </c>
      <c r="G17" s="10">
        <f t="shared" ref="G17:M17" si="0">G18+G19+G20+G24+G25</f>
        <v>0.17421000475325002</v>
      </c>
      <c r="H17" s="11">
        <f t="shared" si="0"/>
        <v>1.21738061180427</v>
      </c>
      <c r="I17" s="10">
        <f t="shared" si="0"/>
        <v>0.17421002365744001</v>
      </c>
      <c r="J17" s="11">
        <f t="shared" si="0"/>
        <v>1.21738061180427</v>
      </c>
      <c r="K17" s="10">
        <f t="shared" ref="K17" si="1">K18+K19+K20+K24+K25</f>
        <v>0.17421002365744001</v>
      </c>
      <c r="L17" s="49">
        <f t="shared" si="0"/>
        <v>0.97227859350579016</v>
      </c>
      <c r="M17" s="52">
        <f t="shared" si="0"/>
        <v>0.24510199775917002</v>
      </c>
      <c r="N17" s="10">
        <f>SUM(N18:N25)</f>
        <v>0.1158391304741222</v>
      </c>
      <c r="O17" s="11">
        <f t="shared" ref="O17:Q17" si="2">O18+O19+O20+O24+O25</f>
        <v>1.21738061180427</v>
      </c>
      <c r="P17" s="10">
        <f t="shared" si="2"/>
        <v>0.17421000475325002</v>
      </c>
      <c r="Q17" s="11">
        <f t="shared" si="2"/>
        <v>1.21738061180427</v>
      </c>
    </row>
    <row r="18" spans="1:35" outlineLevel="1" x14ac:dyDescent="0.2">
      <c r="A18" s="13" t="s">
        <v>38</v>
      </c>
      <c r="B18" s="20">
        <v>0.23779901000000001</v>
      </c>
      <c r="C18" s="21">
        <v>0.35641152999999998</v>
      </c>
      <c r="D18" s="43">
        <v>-0.11861252999999999</v>
      </c>
      <c r="E18" s="14">
        <v>3.4816E-2</v>
      </c>
      <c r="F18" s="15">
        <v>-0.206951</v>
      </c>
      <c r="G18" s="14">
        <f>D18*(F18-0)</f>
        <v>2.454698169603E-2</v>
      </c>
      <c r="H18" s="15">
        <f>B18*(E18-F18)</f>
        <v>5.7491953250670004E-2</v>
      </c>
      <c r="I18" s="14">
        <f>D18*(F18-$F$17)</f>
        <v>0.24877436204610001</v>
      </c>
      <c r="J18" s="15">
        <f>B18*(E18-F18)</f>
        <v>5.7491953250670004E-2</v>
      </c>
      <c r="K18" s="14">
        <f>D18*(F18-$F$17)</f>
        <v>0.24877436204610001</v>
      </c>
      <c r="L18" s="50">
        <f>C18*(E18-F18)</f>
        <v>8.6168546373509999E-2</v>
      </c>
      <c r="M18" s="53">
        <f>D18*(E18-F18)</f>
        <v>-2.8676595540510001E-2</v>
      </c>
      <c r="N18" s="14">
        <f>D18*(F18-$F$17)</f>
        <v>0.24877436204610001</v>
      </c>
      <c r="O18" s="15">
        <f>B18*(E18-F18)</f>
        <v>5.7491953250670004E-2</v>
      </c>
      <c r="P18" s="14">
        <f>D18*(F18-0)</f>
        <v>2.454698169603E-2</v>
      </c>
      <c r="Q18" s="15">
        <f>B18*(E18-F18)</f>
        <v>5.7491953250670004E-2</v>
      </c>
    </row>
    <row r="19" spans="1:35" outlineLevel="1" x14ac:dyDescent="0.2">
      <c r="A19" s="13" t="s">
        <v>39</v>
      </c>
      <c r="B19" s="20">
        <v>0.11511652</v>
      </c>
      <c r="C19" s="21">
        <v>9.9509280000000006E-2</v>
      </c>
      <c r="D19" s="43">
        <v>1.560724E-2</v>
      </c>
      <c r="E19" s="14">
        <v>9.1348470000000006</v>
      </c>
      <c r="F19" s="15">
        <v>4.533938</v>
      </c>
      <c r="G19" s="14">
        <f t="shared" ref="G19:G23" si="3">D19*(F19-0)</f>
        <v>7.0762258511120002E-2</v>
      </c>
      <c r="H19" s="15">
        <f t="shared" ref="H19:H25" si="4">B19*(E19-F19)</f>
        <v>0.52964063291668007</v>
      </c>
      <c r="I19" s="14">
        <f t="shared" ref="I19:I20" si="5">D19*(F19-$F$17)</f>
        <v>4.1258035477559997E-2</v>
      </c>
      <c r="J19" s="15">
        <f t="shared" ref="J19:J25" si="6">B19*(E19-F19)</f>
        <v>0.52964063291668007</v>
      </c>
      <c r="K19" s="14">
        <f t="shared" ref="K19:K20" si="7">D19*(F19-$F$17)</f>
        <v>4.1258035477559997E-2</v>
      </c>
      <c r="L19" s="50">
        <f t="shared" ref="L19:L25" si="8">C19*(E19-F19)</f>
        <v>0.4578331419355201</v>
      </c>
      <c r="M19" s="53">
        <f t="shared" ref="M19:M25" si="9">D19*(E19-F19)</f>
        <v>7.1807490981160002E-2</v>
      </c>
      <c r="N19" s="14">
        <f t="shared" ref="N19:N20" si="10">D19*(F19-$F$17)</f>
        <v>4.1258035477559997E-2</v>
      </c>
      <c r="O19" s="15">
        <f t="shared" ref="O19:O23" si="11">B19*(E19-F19)</f>
        <v>0.52964063291668007</v>
      </c>
      <c r="P19" s="14">
        <f t="shared" ref="P19:P20" si="12">D19*(F19-0)</f>
        <v>7.0762258511120002E-2</v>
      </c>
      <c r="Q19" s="15">
        <f t="shared" ref="Q19:Q25" si="13">B19*(E19-F19)</f>
        <v>0.52964063291668007</v>
      </c>
    </row>
    <row r="20" spans="1:35" outlineLevel="1" x14ac:dyDescent="0.2">
      <c r="A20" s="13" t="s">
        <v>40</v>
      </c>
      <c r="B20" s="20">
        <v>0.22188799000000001</v>
      </c>
      <c r="C20" s="21">
        <v>0.22852897</v>
      </c>
      <c r="D20" s="43">
        <v>-6.6409800000000003E-3</v>
      </c>
      <c r="E20" s="14">
        <v>4.5586320000000002</v>
      </c>
      <c r="F20" s="15">
        <v>5.186788</v>
      </c>
      <c r="G20" s="14">
        <f t="shared" si="3"/>
        <v>-3.444535537224E-2</v>
      </c>
      <c r="H20" s="15">
        <f t="shared" si="4"/>
        <v>-0.13938027224643995</v>
      </c>
      <c r="I20" s="14">
        <f t="shared" si="5"/>
        <v>-2.189112060162E-2</v>
      </c>
      <c r="J20" s="15">
        <f t="shared" si="6"/>
        <v>-0.13938027224643995</v>
      </c>
      <c r="K20" s="14">
        <f t="shared" si="7"/>
        <v>-2.189112060162E-2</v>
      </c>
      <c r="L20" s="50">
        <f t="shared" si="8"/>
        <v>-0.14355184367931995</v>
      </c>
      <c r="M20" s="53">
        <f t="shared" si="9"/>
        <v>4.1715714328799981E-3</v>
      </c>
      <c r="N20" s="14">
        <f t="shared" si="10"/>
        <v>-2.189112060162E-2</v>
      </c>
      <c r="O20" s="15">
        <f t="shared" si="11"/>
        <v>-0.13938027224643995</v>
      </c>
      <c r="P20" s="14">
        <f t="shared" si="12"/>
        <v>-3.444535537224E-2</v>
      </c>
      <c r="Q20" s="15">
        <f t="shared" si="13"/>
        <v>-0.13938027224643995</v>
      </c>
    </row>
    <row r="21" spans="1:35" outlineLevel="1" x14ac:dyDescent="0.2">
      <c r="A21" s="35" t="s">
        <v>41</v>
      </c>
      <c r="B21" s="3">
        <v>0.12264296</v>
      </c>
      <c r="C21" s="4">
        <v>0.12560934000000001</v>
      </c>
      <c r="D21" s="44">
        <v>-2.9663900000000002E-3</v>
      </c>
      <c r="E21" s="8">
        <v>8.6175999999999995</v>
      </c>
      <c r="F21" s="7">
        <v>6.6190189999999998</v>
      </c>
      <c r="G21" s="8">
        <f t="shared" si="3"/>
        <v>-1.9634591771410002E-2</v>
      </c>
      <c r="H21" s="7">
        <f t="shared" si="4"/>
        <v>0.24511188963975997</v>
      </c>
      <c r="I21" s="8">
        <f>D21*(F21-$F$20)</f>
        <v>-4.24855571609E-3</v>
      </c>
      <c r="J21" s="7">
        <f t="shared" si="6"/>
        <v>0.24511188963975997</v>
      </c>
      <c r="K21" s="8">
        <f>D21*(F21-$F$20)</f>
        <v>-4.24855571609E-3</v>
      </c>
      <c r="L21" s="51">
        <f t="shared" si="8"/>
        <v>0.25104044034653999</v>
      </c>
      <c r="M21" s="54">
        <f t="shared" si="9"/>
        <v>-5.9285706925899994E-3</v>
      </c>
      <c r="N21" s="8">
        <f>(B21-C21*($B$20/$C$20))*(F21-$F$20)</f>
        <v>9.7934225437227543E-4</v>
      </c>
      <c r="O21" s="7">
        <f t="shared" si="11"/>
        <v>0.24511188963975997</v>
      </c>
      <c r="P21" s="8">
        <f>(B21-C21*($B$20/$C$20))*(F21-$F$20)</f>
        <v>9.7934225437227543E-4</v>
      </c>
      <c r="Q21" s="7">
        <f t="shared" si="13"/>
        <v>0.24511188963975997</v>
      </c>
    </row>
    <row r="22" spans="1:35" outlineLevel="1" x14ac:dyDescent="0.2">
      <c r="A22" s="35" t="s">
        <v>42</v>
      </c>
      <c r="B22" s="3">
        <v>1.054036E-2</v>
      </c>
      <c r="C22" s="4">
        <v>2.4517540000000001E-2</v>
      </c>
      <c r="D22" s="44">
        <v>-1.3977180000000001E-2</v>
      </c>
      <c r="E22" s="8">
        <v>8.7320220000000006</v>
      </c>
      <c r="F22" s="7">
        <v>6.9591050000000001</v>
      </c>
      <c r="G22" s="8">
        <f t="shared" si="3"/>
        <v>-9.7268663223900001E-2</v>
      </c>
      <c r="H22" s="7">
        <f t="shared" si="4"/>
        <v>1.8687183430120005E-2</v>
      </c>
      <c r="I22" s="8">
        <f t="shared" ref="I22:I23" si="14">D22*(F22-$F$20)</f>
        <v>-2.4771993726060003E-2</v>
      </c>
      <c r="J22" s="7">
        <f t="shared" si="6"/>
        <v>1.8687183430120005E-2</v>
      </c>
      <c r="K22" s="8">
        <f t="shared" ref="K22:K23" si="15">D22*(F22-$F$20)</f>
        <v>-2.4771993726060003E-2</v>
      </c>
      <c r="L22" s="51">
        <f t="shared" si="8"/>
        <v>4.3467563464180015E-2</v>
      </c>
      <c r="M22" s="54">
        <f t="shared" si="9"/>
        <v>-2.4780380034060009E-2</v>
      </c>
      <c r="N22" s="8">
        <f t="shared" ref="N22:N23" si="16">(B22-C22*($B$20/$C$20))*(F22-$F$20)</f>
        <v>-2.3509267484749432E-2</v>
      </c>
      <c r="O22" s="7">
        <f t="shared" si="11"/>
        <v>1.8687183430120005E-2</v>
      </c>
      <c r="P22" s="8">
        <f t="shared" ref="P22:P23" si="17">(B22-C22*($B$20/$C$20))*(F22-$F$20)</f>
        <v>-2.3509267484749432E-2</v>
      </c>
      <c r="Q22" s="7">
        <f t="shared" si="13"/>
        <v>1.8687183430120005E-2</v>
      </c>
    </row>
    <row r="23" spans="1:35" outlineLevel="1" x14ac:dyDescent="0.2">
      <c r="A23" s="35" t="s">
        <v>43</v>
      </c>
      <c r="B23" s="3">
        <v>8.8704669999999999E-2</v>
      </c>
      <c r="C23" s="4">
        <v>7.8402079999999999E-2</v>
      </c>
      <c r="D23" s="44">
        <v>1.030259E-2</v>
      </c>
      <c r="E23" s="8">
        <v>-1.549196</v>
      </c>
      <c r="F23" s="7">
        <v>2.337955</v>
      </c>
      <c r="G23" s="8">
        <f t="shared" si="3"/>
        <v>2.408699180345E-2</v>
      </c>
      <c r="H23" s="7">
        <f t="shared" si="4"/>
        <v>-0.34480844669517002</v>
      </c>
      <c r="I23" s="8">
        <f t="shared" si="14"/>
        <v>-2.935035837747E-2</v>
      </c>
      <c r="J23" s="7">
        <f t="shared" si="6"/>
        <v>-0.34480844669517002</v>
      </c>
      <c r="K23" s="8">
        <f t="shared" si="15"/>
        <v>-2.935035837747E-2</v>
      </c>
      <c r="L23" s="51">
        <f t="shared" si="8"/>
        <v>-0.30476072367408003</v>
      </c>
      <c r="M23" s="54">
        <f t="shared" si="9"/>
        <v>-4.0047723021090005E-2</v>
      </c>
      <c r="N23" s="8">
        <f t="shared" si="16"/>
        <v>-3.5840967952940644E-2</v>
      </c>
      <c r="O23" s="7">
        <f t="shared" si="11"/>
        <v>-0.34480844669517002</v>
      </c>
      <c r="P23" s="8">
        <f t="shared" si="17"/>
        <v>-3.5840967952940644E-2</v>
      </c>
      <c r="Q23" s="7">
        <f t="shared" si="13"/>
        <v>-0.34480844669517002</v>
      </c>
    </row>
    <row r="24" spans="1:35" outlineLevel="1" x14ac:dyDescent="0.2">
      <c r="A24" s="13" t="s">
        <v>44</v>
      </c>
      <c r="B24" s="20">
        <v>0.42470123999999998</v>
      </c>
      <c r="C24" s="21">
        <v>0.31555021999999999</v>
      </c>
      <c r="D24" s="43">
        <v>0.10915101000000001</v>
      </c>
      <c r="E24" s="14">
        <v>2.8505980000000002</v>
      </c>
      <c r="F24" s="15">
        <v>1.0384340000000001</v>
      </c>
      <c r="G24" s="14">
        <f t="shared" ref="G24:G25" si="18">D24*(F24-0)</f>
        <v>0.11334611991834001</v>
      </c>
      <c r="H24" s="15">
        <f t="shared" si="4"/>
        <v>0.76962829788335996</v>
      </c>
      <c r="I24" s="14">
        <f t="shared" ref="I24:I25" si="19">D24*(F24-$F$17)</f>
        <v>-9.2995023254849998E-2</v>
      </c>
      <c r="J24" s="15">
        <f t="shared" si="6"/>
        <v>0.76962829788335996</v>
      </c>
      <c r="K24" s="14">
        <f t="shared" ref="K24:K25" si="20">D24*(F24-$F$17)</f>
        <v>-9.2995023254849998E-2</v>
      </c>
      <c r="L24" s="50">
        <f t="shared" si="8"/>
        <v>0.57182874887608004</v>
      </c>
      <c r="M24" s="53">
        <f t="shared" si="9"/>
        <v>0.19779953088564003</v>
      </c>
      <c r="N24" s="14">
        <f t="shared" ref="N24:N25" si="21">D24*(F24-$F$17)</f>
        <v>-9.2995023254849998E-2</v>
      </c>
      <c r="O24" s="15">
        <f t="shared" ref="O24:O25" si="22">B24*(E24-F24)</f>
        <v>0.76962829788335996</v>
      </c>
      <c r="P24" s="14">
        <f t="shared" ref="P24:P25" si="23">D24*(F24-0)</f>
        <v>0.11334611991834001</v>
      </c>
      <c r="Q24" s="15">
        <f t="shared" si="13"/>
        <v>0.76962829788335996</v>
      </c>
    </row>
    <row r="25" spans="1:35" ht="13.5" outlineLevel="1" thickBot="1" x14ac:dyDescent="0.25">
      <c r="A25" s="23" t="s">
        <v>45</v>
      </c>
      <c r="B25" s="24">
        <v>4.9525000000000003E-4</v>
      </c>
      <c r="C25" s="25">
        <v>0</v>
      </c>
      <c r="D25" s="45">
        <v>4.9525000000000003E-4</v>
      </c>
      <c r="E25" s="17">
        <v>0</v>
      </c>
      <c r="F25" s="18">
        <v>0</v>
      </c>
      <c r="G25" s="17">
        <f t="shared" si="18"/>
        <v>0</v>
      </c>
      <c r="H25" s="18">
        <f t="shared" si="4"/>
        <v>0</v>
      </c>
      <c r="I25" s="17">
        <f t="shared" si="19"/>
        <v>-9.362300097500001E-4</v>
      </c>
      <c r="J25" s="18">
        <f t="shared" si="6"/>
        <v>0</v>
      </c>
      <c r="K25" s="17">
        <f t="shared" si="20"/>
        <v>-9.362300097500001E-4</v>
      </c>
      <c r="L25" s="55">
        <f t="shared" si="8"/>
        <v>0</v>
      </c>
      <c r="M25" s="56">
        <f t="shared" si="9"/>
        <v>0</v>
      </c>
      <c r="N25" s="17">
        <f t="shared" si="21"/>
        <v>-9.362300097500001E-4</v>
      </c>
      <c r="O25" s="18">
        <f t="shared" si="22"/>
        <v>0</v>
      </c>
      <c r="P25" s="17">
        <f t="shared" si="23"/>
        <v>0</v>
      </c>
      <c r="Q25" s="18">
        <f t="shared" si="13"/>
        <v>0</v>
      </c>
    </row>
    <row r="27" spans="1:35" x14ac:dyDescent="0.2">
      <c r="A27" s="41" t="s">
        <v>46</v>
      </c>
    </row>
    <row r="28" spans="1:35" outlineLevel="1" x14ac:dyDescent="0.2"/>
    <row r="29" spans="1:35" outlineLevel="1" x14ac:dyDescent="0.2">
      <c r="A29" s="41" t="s">
        <v>1</v>
      </c>
      <c r="B29" s="41" t="s">
        <v>2</v>
      </c>
    </row>
    <row r="30" spans="1:35" outlineLevel="1" x14ac:dyDescent="0.2">
      <c r="A30" s="41" t="s">
        <v>3</v>
      </c>
      <c r="B30" s="41" t="s">
        <v>47</v>
      </c>
    </row>
    <row r="31" spans="1:35" outlineLevel="1" x14ac:dyDescent="0.2">
      <c r="A31" s="41"/>
      <c r="B31" s="41"/>
    </row>
    <row r="32" spans="1:35" outlineLevel="1" x14ac:dyDescent="0.2">
      <c r="A32" s="116" t="s">
        <v>5</v>
      </c>
      <c r="B32" s="116" t="s">
        <v>6</v>
      </c>
      <c r="C32" s="128" t="s">
        <v>7</v>
      </c>
      <c r="D32" s="128"/>
      <c r="E32" s="128"/>
      <c r="F32" s="128"/>
      <c r="G32" s="128"/>
      <c r="H32" s="128"/>
      <c r="I32" s="128"/>
      <c r="J32" s="128"/>
      <c r="K32" s="128"/>
      <c r="L32" s="128"/>
      <c r="M32" s="128"/>
      <c r="N32" s="128"/>
      <c r="O32" s="128"/>
      <c r="P32" s="128"/>
      <c r="Q32" s="128"/>
      <c r="R32" s="128"/>
      <c r="S32" s="128"/>
      <c r="T32" s="128"/>
      <c r="U32" s="128"/>
      <c r="V32" s="128"/>
      <c r="W32" s="128"/>
      <c r="X32" s="128"/>
      <c r="Y32" s="128"/>
      <c r="Z32" s="128"/>
      <c r="AA32" s="128"/>
      <c r="AB32" s="128"/>
      <c r="AC32" s="128"/>
      <c r="AD32" s="128"/>
      <c r="AE32" s="128"/>
      <c r="AF32" s="128"/>
      <c r="AG32" s="128"/>
      <c r="AH32" s="128"/>
      <c r="AI32" s="128"/>
    </row>
    <row r="33" spans="1:35" outlineLevel="1" x14ac:dyDescent="0.2">
      <c r="A33" s="36" t="s">
        <v>48</v>
      </c>
      <c r="B33" s="36" t="s">
        <v>16</v>
      </c>
      <c r="C33" s="129" t="s">
        <v>49</v>
      </c>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row>
    <row r="34" spans="1:35" outlineLevel="1" x14ac:dyDescent="0.2">
      <c r="A34" s="36" t="s">
        <v>50</v>
      </c>
      <c r="B34" s="36" t="s">
        <v>16</v>
      </c>
      <c r="C34" s="129" t="s">
        <v>51</v>
      </c>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c r="AG34" s="129"/>
      <c r="AH34" s="129"/>
      <c r="AI34" s="129"/>
    </row>
    <row r="35" spans="1:35" ht="13.5" outlineLevel="1" thickBot="1" x14ac:dyDescent="0.25">
      <c r="B35" s="38"/>
      <c r="C35" s="38"/>
      <c r="D35" s="38"/>
      <c r="E35" s="38"/>
      <c r="F35" s="38"/>
      <c r="G35" s="38"/>
      <c r="H35" s="38"/>
      <c r="I35" s="38"/>
      <c r="J35" s="38"/>
      <c r="K35" s="38"/>
      <c r="L35" s="38"/>
      <c r="M35" s="38"/>
      <c r="N35" s="38"/>
      <c r="O35" s="38"/>
      <c r="P35" s="38"/>
      <c r="Q35" s="38"/>
      <c r="R35" s="38"/>
      <c r="S35" s="38"/>
    </row>
    <row r="36" spans="1:35" outlineLevel="1" x14ac:dyDescent="0.2">
      <c r="Q36" s="134" t="s">
        <v>20</v>
      </c>
      <c r="R36" s="135"/>
      <c r="S36" s="135"/>
      <c r="T36" s="136"/>
    </row>
    <row r="37" spans="1:35" outlineLevel="1" x14ac:dyDescent="0.2">
      <c r="B37" s="143" t="s">
        <v>21</v>
      </c>
      <c r="C37" s="144"/>
      <c r="D37" s="144"/>
      <c r="E37" s="144"/>
      <c r="F37" s="144"/>
      <c r="G37" s="144"/>
      <c r="H37" s="144"/>
      <c r="I37" s="144"/>
      <c r="J37" s="144"/>
      <c r="K37" s="144"/>
      <c r="L37" s="144"/>
      <c r="M37" s="144"/>
      <c r="N37" s="144"/>
      <c r="O37" s="146"/>
      <c r="P37" s="147"/>
      <c r="Q37" s="130" t="s">
        <v>26</v>
      </c>
      <c r="R37" s="131"/>
      <c r="S37" s="130" t="s">
        <v>26</v>
      </c>
      <c r="T37" s="131"/>
    </row>
    <row r="38" spans="1:35" outlineLevel="1" x14ac:dyDescent="0.2">
      <c r="B38" s="139" t="s">
        <v>27</v>
      </c>
      <c r="C38" s="140"/>
      <c r="D38" s="141"/>
      <c r="E38" s="139" t="s">
        <v>28</v>
      </c>
      <c r="F38" s="141"/>
      <c r="G38" s="139" t="s">
        <v>52</v>
      </c>
      <c r="H38" s="140"/>
      <c r="I38" s="141"/>
      <c r="J38" s="148" t="s">
        <v>53</v>
      </c>
      <c r="K38" s="148"/>
      <c r="L38" s="152"/>
      <c r="M38" s="149" t="s">
        <v>54</v>
      </c>
      <c r="N38" s="148"/>
      <c r="O38" s="150" t="s">
        <v>55</v>
      </c>
      <c r="P38" s="151"/>
      <c r="Q38" s="132" t="s">
        <v>30</v>
      </c>
      <c r="R38" s="133"/>
      <c r="S38" s="138" t="s">
        <v>30</v>
      </c>
      <c r="T38" s="133"/>
    </row>
    <row r="39" spans="1:35" outlineLevel="1" x14ac:dyDescent="0.2">
      <c r="B39" s="113" t="s">
        <v>31</v>
      </c>
      <c r="C39" s="112" t="s">
        <v>32</v>
      </c>
      <c r="D39" s="114" t="s">
        <v>33</v>
      </c>
      <c r="E39" s="113" t="s">
        <v>31</v>
      </c>
      <c r="F39" s="114" t="s">
        <v>32</v>
      </c>
      <c r="G39" s="113" t="s">
        <v>31</v>
      </c>
      <c r="H39" s="112" t="s">
        <v>32</v>
      </c>
      <c r="I39" s="114" t="s">
        <v>33</v>
      </c>
      <c r="J39" s="112" t="s">
        <v>31</v>
      </c>
      <c r="K39" s="112" t="s">
        <v>32</v>
      </c>
      <c r="L39" s="114" t="s">
        <v>33</v>
      </c>
      <c r="M39" s="113" t="s">
        <v>31</v>
      </c>
      <c r="N39" s="112" t="s">
        <v>32</v>
      </c>
      <c r="O39" s="117" t="s">
        <v>31</v>
      </c>
      <c r="P39" s="118" t="s">
        <v>32</v>
      </c>
      <c r="Q39" s="112" t="s">
        <v>34</v>
      </c>
      <c r="R39" s="114" t="s">
        <v>35</v>
      </c>
      <c r="S39" s="2" t="s">
        <v>34</v>
      </c>
      <c r="T39" s="114" t="s">
        <v>35</v>
      </c>
    </row>
    <row r="40" spans="1:35" outlineLevel="1" x14ac:dyDescent="0.2">
      <c r="A40" s="27" t="s">
        <v>37</v>
      </c>
      <c r="B40" s="28">
        <v>1</v>
      </c>
      <c r="C40" s="29">
        <v>1</v>
      </c>
      <c r="D40" s="42">
        <v>0</v>
      </c>
      <c r="E40" s="46">
        <v>3.282009</v>
      </c>
      <c r="F40" s="31">
        <v>1.8904190000000001</v>
      </c>
      <c r="G40" s="46">
        <v>2.8110940000000002</v>
      </c>
      <c r="H40" s="30">
        <v>3.623523</v>
      </c>
      <c r="I40" s="31">
        <v>-0.81242899999999996</v>
      </c>
      <c r="J40" s="30">
        <v>3.5318930000000002</v>
      </c>
      <c r="K40" s="30">
        <v>2.9420320000000002</v>
      </c>
      <c r="L40" s="31">
        <v>0.58986099999999997</v>
      </c>
      <c r="M40" s="10">
        <f t="shared" ref="M40:M48" si="24">IF(ISERROR(E40/(G40/B40)),0,E40/(G40/B40))</f>
        <v>1.1675201896485852</v>
      </c>
      <c r="N40" s="76">
        <f t="shared" ref="N40:N48" si="25">IF(ISERROR(F40/(H40/C40)),0,F40/(H40/C40))</f>
        <v>0.52170746535898904</v>
      </c>
      <c r="O40" s="119">
        <f t="shared" ref="O40:O48" si="26">IF(ISERROR(E40/(J40/B40)),0,E40/(J40/B40))</f>
        <v>0.92924927227410337</v>
      </c>
      <c r="P40" s="120">
        <f t="shared" ref="P40:P48" si="27">IF(ISERROR(F40/(K40/C40)),0,F40/(K40/C40))</f>
        <v>0.64255555344061521</v>
      </c>
      <c r="Q40" s="76">
        <f>Q41+Q42+Q43+Q47+Q48</f>
        <v>-0.3704577868554032</v>
      </c>
      <c r="R40" s="11">
        <f>R41+R42+R43+R47+R48</f>
        <v>1.7620484137972632</v>
      </c>
      <c r="S40" s="12">
        <f>S41+S42+S43+S47+S48</f>
        <v>0.38349768814838125</v>
      </c>
      <c r="T40" s="11">
        <f>T41+T42+T43+T47+T48</f>
        <v>1.0080923168201239</v>
      </c>
    </row>
    <row r="41" spans="1:35" outlineLevel="1" x14ac:dyDescent="0.2">
      <c r="A41" s="13" t="s">
        <v>38</v>
      </c>
      <c r="B41" s="20">
        <v>0.23779901000000001</v>
      </c>
      <c r="C41" s="21">
        <v>0.35641152999999998</v>
      </c>
      <c r="D41" s="43">
        <v>-0.11861252999999999</v>
      </c>
      <c r="E41" s="14">
        <v>3.4816E-2</v>
      </c>
      <c r="F41" s="15">
        <v>-0.206951</v>
      </c>
      <c r="G41" s="14">
        <v>0</v>
      </c>
      <c r="H41" s="22">
        <v>0</v>
      </c>
      <c r="I41" s="15">
        <v>0</v>
      </c>
      <c r="J41" s="22">
        <v>0</v>
      </c>
      <c r="K41" s="22">
        <v>0</v>
      </c>
      <c r="L41" s="15">
        <v>0</v>
      </c>
      <c r="M41" s="14">
        <f t="shared" si="24"/>
        <v>0</v>
      </c>
      <c r="N41" s="22">
        <f t="shared" si="25"/>
        <v>0</v>
      </c>
      <c r="O41" s="121">
        <f t="shared" si="26"/>
        <v>0</v>
      </c>
      <c r="P41" s="122">
        <f t="shared" si="27"/>
        <v>0</v>
      </c>
      <c r="Q41" s="22">
        <f>IF(ISERROR(FIND("Treasuries",A41)),I41*N41,D41*F41)</f>
        <v>2.454698169603E-2</v>
      </c>
      <c r="R41" s="15">
        <f>IF(ISERROR(FIND("Treasuries",A41)),G41*(M41-N41),B41*(E41-F41))</f>
        <v>5.7491953250670004E-2</v>
      </c>
      <c r="S41" s="16">
        <f>IF(ISERROR(FIND("Treasuries",A41)),L41*P41,D41*F41)</f>
        <v>2.454698169603E-2</v>
      </c>
      <c r="T41" s="15">
        <f>IF(ISERROR(FIND("Treasuries",A41)),J41*(O41-P41),B41*(E41-F41))</f>
        <v>5.7491953250670004E-2</v>
      </c>
    </row>
    <row r="42" spans="1:35" outlineLevel="1" x14ac:dyDescent="0.2">
      <c r="A42" s="13" t="s">
        <v>39</v>
      </c>
      <c r="B42" s="20">
        <v>0.11511652</v>
      </c>
      <c r="C42" s="21">
        <v>9.9509280000000006E-2</v>
      </c>
      <c r="D42" s="43">
        <v>1.560724E-2</v>
      </c>
      <c r="E42" s="14">
        <v>9.1348470000000006</v>
      </c>
      <c r="F42" s="15">
        <v>4.533938</v>
      </c>
      <c r="G42" s="14">
        <v>0.37259100000000001</v>
      </c>
      <c r="H42" s="22">
        <v>0.492616</v>
      </c>
      <c r="I42" s="15">
        <v>-0.12002500000000001</v>
      </c>
      <c r="J42" s="22">
        <v>0.48550599999999999</v>
      </c>
      <c r="K42" s="22">
        <v>0.53335699999999997</v>
      </c>
      <c r="L42" s="15">
        <v>-4.7850999999999998E-2</v>
      </c>
      <c r="M42" s="14">
        <f t="shared" si="24"/>
        <v>2.8223220565511244</v>
      </c>
      <c r="N42" s="22">
        <f t="shared" si="25"/>
        <v>0.91586328082043633</v>
      </c>
      <c r="O42" s="121">
        <f t="shared" si="26"/>
        <v>2.1659295608549436</v>
      </c>
      <c r="P42" s="122">
        <f t="shared" si="27"/>
        <v>0.84590416164902693</v>
      </c>
      <c r="Q42" s="22">
        <f t="shared" ref="Q42:Q43" si="28">IF(ISERROR(FIND("Treasuries",A42)),I42*N42,D42*F42)</f>
        <v>-0.10992649028047288</v>
      </c>
      <c r="R42" s="15">
        <f t="shared" ref="R42:R48" si="29">IF(ISERROR(FIND("Treasuries",A42)),G42*(M42-N42),B42*(E42-F42))</f>
        <v>0.71032938170827287</v>
      </c>
      <c r="S42" s="16">
        <f t="shared" ref="S42:S43" si="30">IF(ISERROR(FIND("Treasuries",A42)),L42*P42,D42*F42)</f>
        <v>-4.0477360039067586E-2</v>
      </c>
      <c r="T42" s="15">
        <f t="shared" ref="T42:T48" si="31">IF(ISERROR(FIND("Treasuries",A42)),J42*(O42-P42),B42*(E42-F42))</f>
        <v>0.64088025146686767</v>
      </c>
    </row>
    <row r="43" spans="1:35" outlineLevel="1" x14ac:dyDescent="0.2">
      <c r="A43" s="13" t="s">
        <v>40</v>
      </c>
      <c r="B43" s="20">
        <v>0.22188799000000001</v>
      </c>
      <c r="C43" s="21">
        <v>0.22852897</v>
      </c>
      <c r="D43" s="43">
        <v>-6.6409800000000003E-3</v>
      </c>
      <c r="E43" s="14">
        <v>4.5586320000000002</v>
      </c>
      <c r="F43" s="15">
        <v>5.186788</v>
      </c>
      <c r="G43" s="14">
        <v>1.227266</v>
      </c>
      <c r="H43" s="22">
        <v>1.4712019999999999</v>
      </c>
      <c r="I43" s="15">
        <v>-0.24393599999999999</v>
      </c>
      <c r="J43" s="22">
        <v>2.4492259999999999</v>
      </c>
      <c r="K43" s="22">
        <v>1.905759</v>
      </c>
      <c r="L43" s="15">
        <v>0.543466</v>
      </c>
      <c r="M43" s="14">
        <f t="shared" si="24"/>
        <v>0.82419434061538421</v>
      </c>
      <c r="N43" s="22">
        <f t="shared" si="25"/>
        <v>0.80568903471335684</v>
      </c>
      <c r="O43" s="121">
        <f t="shared" si="26"/>
        <v>0.4129899370779504</v>
      </c>
      <c r="P43" s="122">
        <f t="shared" si="27"/>
        <v>0.6219733551033263</v>
      </c>
      <c r="Q43" s="22">
        <f t="shared" si="28"/>
        <v>-0.19653656037183739</v>
      </c>
      <c r="R43" s="15">
        <f t="shared" si="29"/>
        <v>2.2710932753157522E-2</v>
      </c>
      <c r="S43" s="16">
        <f t="shared" si="30"/>
        <v>0.33802137140458433</v>
      </c>
      <c r="T43" s="15">
        <f t="shared" si="31"/>
        <v>-0.51184762099661929</v>
      </c>
    </row>
    <row r="44" spans="1:35" outlineLevel="1" x14ac:dyDescent="0.2">
      <c r="A44" s="35" t="s">
        <v>41</v>
      </c>
      <c r="B44" s="3">
        <v>0.12264296</v>
      </c>
      <c r="C44" s="4">
        <v>0.12560934000000001</v>
      </c>
      <c r="D44" s="44">
        <v>-2.9663900000000002E-3</v>
      </c>
      <c r="E44" s="8">
        <v>8.6175999999999995</v>
      </c>
      <c r="F44" s="7">
        <v>6.6190189999999998</v>
      </c>
      <c r="G44" s="8">
        <v>1.069445</v>
      </c>
      <c r="H44" s="6">
        <v>0.88251400000000002</v>
      </c>
      <c r="I44" s="7">
        <v>0.18693100000000001</v>
      </c>
      <c r="J44" s="6">
        <v>2.1684950000000001</v>
      </c>
      <c r="K44" s="6">
        <v>1.15605</v>
      </c>
      <c r="L44" s="7">
        <v>1.012446</v>
      </c>
      <c r="M44" s="8">
        <f t="shared" si="24"/>
        <v>0.98825836961788593</v>
      </c>
      <c r="N44" s="6">
        <f t="shared" si="25"/>
        <v>0.94209339232857503</v>
      </c>
      <c r="O44" s="123">
        <f t="shared" si="26"/>
        <v>0.48738317224434458</v>
      </c>
      <c r="P44" s="124">
        <f t="shared" si="27"/>
        <v>0.71918222225462569</v>
      </c>
      <c r="Q44" s="6">
        <f>(G44-H44*($G$43/$H$43))*(N44-$N$43)</f>
        <v>4.5457876792624356E-2</v>
      </c>
      <c r="R44" s="7">
        <f t="shared" si="29"/>
        <v>4.9370904137167097E-2</v>
      </c>
      <c r="S44" s="5">
        <f>(J44-K44*($J$43/$K$43))*(P44-$P$43)</f>
        <v>6.6371607994921325E-2</v>
      </c>
      <c r="T44" s="7">
        <f t="shared" si="31"/>
        <v>-0.50265508095204459</v>
      </c>
    </row>
    <row r="45" spans="1:35" outlineLevel="1" x14ac:dyDescent="0.2">
      <c r="A45" s="35" t="s">
        <v>42</v>
      </c>
      <c r="B45" s="3">
        <v>1.054036E-2</v>
      </c>
      <c r="C45" s="4">
        <v>2.4517540000000001E-2</v>
      </c>
      <c r="D45" s="44">
        <v>-1.3977180000000001E-2</v>
      </c>
      <c r="E45" s="8">
        <v>8.7320220000000006</v>
      </c>
      <c r="F45" s="7">
        <v>6.9591050000000001</v>
      </c>
      <c r="G45" s="8">
        <v>8.4663000000000002E-2</v>
      </c>
      <c r="H45" s="6">
        <v>0.203848</v>
      </c>
      <c r="I45" s="7">
        <v>-0.119185</v>
      </c>
      <c r="J45" s="6">
        <v>0.18582199999999999</v>
      </c>
      <c r="K45" s="6">
        <v>0.26384200000000002</v>
      </c>
      <c r="L45" s="7">
        <v>-7.8020000000000006E-2</v>
      </c>
      <c r="M45" s="8">
        <f t="shared" si="24"/>
        <v>1.0871178130696999</v>
      </c>
      <c r="N45" s="6">
        <f t="shared" si="25"/>
        <v>0.8369968564896394</v>
      </c>
      <c r="O45" s="123">
        <f t="shared" si="26"/>
        <v>0.49530548270882901</v>
      </c>
      <c r="P45" s="124">
        <f t="shared" si="27"/>
        <v>0.64667541635410586</v>
      </c>
      <c r="Q45" s="6">
        <f t="shared" ref="Q45:Q46" si="32">(G45-H45*($G$43/$H$43))*(N45-$N$43)</f>
        <v>-2.6732345753371399E-3</v>
      </c>
      <c r="R45" s="7">
        <f t="shared" si="29"/>
        <v>2.1175990546937664E-2</v>
      </c>
      <c r="S45" s="5">
        <f t="shared" ref="S45:S46" si="33">(J45-K45*($J$43/$K$43))*(P45-$P$43)</f>
        <v>-3.7858393726774723E-3</v>
      </c>
      <c r="T45" s="7">
        <f t="shared" si="31"/>
        <v>-2.8127863809832631E-2</v>
      </c>
    </row>
    <row r="46" spans="1:35" outlineLevel="1" x14ac:dyDescent="0.2">
      <c r="A46" s="35" t="s">
        <v>43</v>
      </c>
      <c r="B46" s="3">
        <v>8.8704669999999999E-2</v>
      </c>
      <c r="C46" s="4">
        <v>7.8402079999999999E-2</v>
      </c>
      <c r="D46" s="44">
        <v>1.030259E-2</v>
      </c>
      <c r="E46" s="8">
        <v>-1.549196</v>
      </c>
      <c r="F46" s="7">
        <v>2.337955</v>
      </c>
      <c r="G46" s="8">
        <v>7.3158000000000001E-2</v>
      </c>
      <c r="H46" s="6">
        <v>0.38484000000000002</v>
      </c>
      <c r="I46" s="7">
        <v>-0.31168299999999999</v>
      </c>
      <c r="J46" s="6">
        <v>9.4908000000000006E-2</v>
      </c>
      <c r="K46" s="6">
        <v>0.48586800000000002</v>
      </c>
      <c r="L46" s="7">
        <v>-0.39095999999999997</v>
      </c>
      <c r="M46" s="8">
        <f t="shared" si="24"/>
        <v>-1.8784127497378278</v>
      </c>
      <c r="N46" s="6">
        <f t="shared" si="25"/>
        <v>0.47630322977445166</v>
      </c>
      <c r="O46" s="123">
        <f t="shared" si="26"/>
        <v>-1.4479382132730645</v>
      </c>
      <c r="P46" s="124">
        <f t="shared" si="27"/>
        <v>0.37726406132200513</v>
      </c>
      <c r="Q46" s="6">
        <f t="shared" si="32"/>
        <v>8.1645757664133622E-2</v>
      </c>
      <c r="R46" s="7">
        <f t="shared" si="29"/>
        <v>-0.17226631162915934</v>
      </c>
      <c r="S46" s="5">
        <f t="shared" si="33"/>
        <v>0.12957734263732684</v>
      </c>
      <c r="T46" s="7">
        <f t="shared" si="31"/>
        <v>-0.17322629747726886</v>
      </c>
    </row>
    <row r="47" spans="1:35" outlineLevel="1" x14ac:dyDescent="0.2">
      <c r="A47" s="13" t="s">
        <v>44</v>
      </c>
      <c r="B47" s="20">
        <v>0.42470123999999998</v>
      </c>
      <c r="C47" s="21">
        <v>0.31555021999999999</v>
      </c>
      <c r="D47" s="43">
        <v>0.10915101000000001</v>
      </c>
      <c r="E47" s="14">
        <v>2.8505980000000002</v>
      </c>
      <c r="F47" s="15">
        <v>1.0384340000000001</v>
      </c>
      <c r="G47" s="14">
        <v>1.2112369999999999</v>
      </c>
      <c r="H47" s="22">
        <v>1.659705</v>
      </c>
      <c r="I47" s="15">
        <v>-0.44846799999999998</v>
      </c>
      <c r="J47" s="22">
        <v>0.59716100000000005</v>
      </c>
      <c r="K47" s="22">
        <v>0.502915</v>
      </c>
      <c r="L47" s="15">
        <v>9.4245999999999996E-2</v>
      </c>
      <c r="M47" s="14">
        <f t="shared" si="24"/>
        <v>0.99951743989121877</v>
      </c>
      <c r="N47" s="22">
        <f t="shared" si="25"/>
        <v>0.1974315177429001</v>
      </c>
      <c r="O47" s="121">
        <f t="shared" si="26"/>
        <v>2.0273469053429811</v>
      </c>
      <c r="P47" s="122">
        <f t="shared" si="27"/>
        <v>0.65155757365654243</v>
      </c>
      <c r="Q47" s="22">
        <f t="shared" ref="Q47:Q48" si="34">IF(ISERROR(FIND("Treasuries",A47)),I47*N47,D47*F47)</f>
        <v>-8.8541717899122921E-2</v>
      </c>
      <c r="R47" s="15">
        <f t="shared" si="29"/>
        <v>0.9715161460851629</v>
      </c>
      <c r="S47" s="16">
        <f t="shared" ref="S47" si="35">IF(ISERROR(FIND("Treasuries",A47)),L47*P47,D47*F47)</f>
        <v>6.1406695086834495E-2</v>
      </c>
      <c r="T47" s="15">
        <f t="shared" si="31"/>
        <v>0.8215677330992055</v>
      </c>
    </row>
    <row r="48" spans="1:35" ht="13.5" outlineLevel="1" thickBot="1" x14ac:dyDescent="0.25">
      <c r="A48" s="23" t="s">
        <v>45</v>
      </c>
      <c r="B48" s="24">
        <v>4.9525000000000003E-4</v>
      </c>
      <c r="C48" s="25">
        <v>0</v>
      </c>
      <c r="D48" s="45">
        <v>4.9525000000000003E-4</v>
      </c>
      <c r="E48" s="17">
        <v>0</v>
      </c>
      <c r="F48" s="18">
        <v>0</v>
      </c>
      <c r="G48" s="17">
        <v>0</v>
      </c>
      <c r="H48" s="26">
        <v>0</v>
      </c>
      <c r="I48" s="18">
        <v>0</v>
      </c>
      <c r="J48" s="26">
        <v>0</v>
      </c>
      <c r="K48" s="26">
        <v>0</v>
      </c>
      <c r="L48" s="18">
        <v>0</v>
      </c>
      <c r="M48" s="17">
        <f t="shared" si="24"/>
        <v>0</v>
      </c>
      <c r="N48" s="26">
        <f t="shared" si="25"/>
        <v>0</v>
      </c>
      <c r="O48" s="125">
        <f t="shared" si="26"/>
        <v>0</v>
      </c>
      <c r="P48" s="126">
        <f t="shared" si="27"/>
        <v>0</v>
      </c>
      <c r="Q48" s="26">
        <f t="shared" si="34"/>
        <v>0</v>
      </c>
      <c r="R48" s="18">
        <f t="shared" si="29"/>
        <v>0</v>
      </c>
      <c r="S48" s="19">
        <f>IF(ISERROR(FIND("Treasuries",A48)),L48*P48,D48*F48)</f>
        <v>0</v>
      </c>
      <c r="T48" s="18">
        <f t="shared" si="31"/>
        <v>0</v>
      </c>
    </row>
    <row r="49" spans="1:35" x14ac:dyDescent="0.2">
      <c r="A49" s="32"/>
      <c r="B49" s="33"/>
      <c r="C49" s="33"/>
      <c r="D49" s="33"/>
      <c r="E49" s="34"/>
      <c r="F49" s="34"/>
      <c r="G49" s="34"/>
      <c r="H49" s="34"/>
      <c r="I49" s="34"/>
      <c r="J49" s="34"/>
      <c r="K49" s="34"/>
      <c r="L49" s="34"/>
    </row>
    <row r="50" spans="1:35" x14ac:dyDescent="0.2">
      <c r="A50" s="115" t="s">
        <v>56</v>
      </c>
      <c r="B50" s="33"/>
      <c r="C50" s="33"/>
      <c r="D50" s="33"/>
      <c r="E50" s="34"/>
      <c r="F50" s="34"/>
      <c r="G50" s="34"/>
      <c r="H50" s="34"/>
      <c r="I50" s="34"/>
      <c r="J50" s="34"/>
      <c r="K50" s="34"/>
      <c r="L50" s="34"/>
    </row>
    <row r="51" spans="1:35" outlineLevel="1" x14ac:dyDescent="0.2">
      <c r="A51" s="32"/>
      <c r="B51" s="33"/>
      <c r="C51" s="33"/>
      <c r="D51" s="33"/>
      <c r="E51" s="34"/>
      <c r="F51" s="34"/>
      <c r="G51" s="34"/>
      <c r="H51" s="34"/>
      <c r="I51" s="34"/>
      <c r="J51" s="34"/>
      <c r="K51" s="34"/>
      <c r="L51" s="34"/>
    </row>
    <row r="52" spans="1:35" outlineLevel="1" x14ac:dyDescent="0.2">
      <c r="A52" s="41" t="s">
        <v>1</v>
      </c>
      <c r="B52" s="41" t="s">
        <v>2</v>
      </c>
    </row>
    <row r="53" spans="1:35" outlineLevel="1" x14ac:dyDescent="0.2">
      <c r="A53" s="41" t="s">
        <v>3</v>
      </c>
      <c r="B53" s="41" t="s">
        <v>4</v>
      </c>
      <c r="I53" s="148"/>
      <c r="J53" s="148"/>
    </row>
    <row r="54" spans="1:35" outlineLevel="1" x14ac:dyDescent="0.2">
      <c r="A54" s="41"/>
      <c r="B54" s="41"/>
      <c r="I54" s="112"/>
      <c r="J54" s="112"/>
    </row>
    <row r="55" spans="1:35" outlineLevel="1" x14ac:dyDescent="0.2">
      <c r="A55" s="116" t="s">
        <v>5</v>
      </c>
      <c r="B55" s="116" t="s">
        <v>6</v>
      </c>
      <c r="C55" s="128" t="s">
        <v>7</v>
      </c>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c r="AB55" s="128"/>
      <c r="AC55" s="128"/>
      <c r="AD55" s="128"/>
      <c r="AE55" s="128"/>
      <c r="AF55" s="128"/>
      <c r="AG55" s="128"/>
      <c r="AH55" s="128"/>
      <c r="AI55" s="128"/>
    </row>
    <row r="56" spans="1:35" outlineLevel="1" x14ac:dyDescent="0.2">
      <c r="A56" s="36" t="s">
        <v>57</v>
      </c>
      <c r="B56" s="36" t="s">
        <v>58</v>
      </c>
      <c r="C56" s="129" t="s">
        <v>90</v>
      </c>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c r="AD56" s="129"/>
      <c r="AE56" s="129"/>
      <c r="AF56" s="129"/>
      <c r="AG56" s="129"/>
      <c r="AH56" s="129"/>
      <c r="AI56" s="129"/>
    </row>
    <row r="57" spans="1:35" ht="13.5" outlineLevel="1" thickBot="1" x14ac:dyDescent="0.25">
      <c r="C57" s="47"/>
      <c r="D57" s="47"/>
      <c r="E57" s="47"/>
    </row>
    <row r="58" spans="1:35" ht="13.5" outlineLevel="1" thickBot="1" x14ac:dyDescent="0.25">
      <c r="A58" s="32"/>
      <c r="B58" s="143" t="s">
        <v>21</v>
      </c>
      <c r="C58" s="144"/>
      <c r="D58" s="144"/>
      <c r="E58" s="144"/>
      <c r="F58" s="144"/>
      <c r="G58" s="144"/>
      <c r="H58" s="144"/>
      <c r="I58" s="144"/>
      <c r="J58" s="144"/>
      <c r="K58" s="143" t="s">
        <v>20</v>
      </c>
      <c r="L58" s="144"/>
      <c r="M58" s="144"/>
      <c r="N58" s="145"/>
    </row>
    <row r="59" spans="1:35" outlineLevel="1" x14ac:dyDescent="0.2">
      <c r="A59" s="32"/>
      <c r="B59" s="139" t="s">
        <v>27</v>
      </c>
      <c r="C59" s="140"/>
      <c r="D59" s="141"/>
      <c r="E59" s="139" t="s">
        <v>28</v>
      </c>
      <c r="F59" s="140"/>
      <c r="G59" s="141"/>
      <c r="H59" s="139" t="s">
        <v>59</v>
      </c>
      <c r="I59" s="140"/>
      <c r="J59" s="141"/>
      <c r="K59" s="153" t="s">
        <v>60</v>
      </c>
      <c r="L59" s="154"/>
      <c r="M59" s="154"/>
      <c r="N59" s="155"/>
    </row>
    <row r="60" spans="1:35" outlineLevel="1" x14ac:dyDescent="0.2">
      <c r="A60" s="32"/>
      <c r="B60" s="113"/>
      <c r="C60" s="112" t="s">
        <v>61</v>
      </c>
      <c r="D60" s="114"/>
      <c r="E60" s="113"/>
      <c r="F60" s="112"/>
      <c r="G60" s="114"/>
      <c r="H60" s="113"/>
      <c r="I60" s="112"/>
      <c r="J60" s="114"/>
      <c r="K60" s="156" t="s">
        <v>62</v>
      </c>
      <c r="L60" s="157"/>
      <c r="M60" s="157"/>
      <c r="N60" s="158"/>
    </row>
    <row r="61" spans="1:35" outlineLevel="1" x14ac:dyDescent="0.2">
      <c r="A61" s="38"/>
      <c r="B61" s="113" t="s">
        <v>31</v>
      </c>
      <c r="C61" s="112" t="s">
        <v>32</v>
      </c>
      <c r="D61" s="114" t="s">
        <v>33</v>
      </c>
      <c r="E61" s="113" t="s">
        <v>31</v>
      </c>
      <c r="F61" s="112" t="s">
        <v>32</v>
      </c>
      <c r="G61" s="114" t="s">
        <v>33</v>
      </c>
      <c r="H61" s="113" t="s">
        <v>31</v>
      </c>
      <c r="I61" s="112" t="s">
        <v>32</v>
      </c>
      <c r="J61" s="114" t="s">
        <v>33</v>
      </c>
      <c r="K61" s="69" t="s">
        <v>34</v>
      </c>
      <c r="L61" s="112" t="s">
        <v>35</v>
      </c>
      <c r="M61" s="112" t="s">
        <v>63</v>
      </c>
      <c r="N61" s="114" t="s">
        <v>64</v>
      </c>
    </row>
    <row r="62" spans="1:35" outlineLevel="1" x14ac:dyDescent="0.2">
      <c r="A62" s="9" t="s">
        <v>31</v>
      </c>
      <c r="B62" s="70">
        <v>1</v>
      </c>
      <c r="C62" s="71">
        <v>1</v>
      </c>
      <c r="D62" s="72">
        <v>0</v>
      </c>
      <c r="E62" s="73">
        <f>SUMPRODUCT(B63:B68,E63:E68)</f>
        <v>130.10723929199997</v>
      </c>
      <c r="F62" s="74">
        <f t="shared" ref="F62" si="36">SUMPRODUCT(C63:C68,F63:F68)</f>
        <v>122.32715111500001</v>
      </c>
      <c r="G62" s="75">
        <f>E62-F62</f>
        <v>7.7800881769999677</v>
      </c>
      <c r="H62" s="73">
        <f>SUM(H63:H68)</f>
        <v>130.10723929199997</v>
      </c>
      <c r="I62" s="74">
        <f t="shared" ref="I62:J62" si="37">SUM(I63:I68)</f>
        <v>122.32715111500001</v>
      </c>
      <c r="J62" s="75">
        <f t="shared" si="37"/>
        <v>7.7800881770000032</v>
      </c>
      <c r="K62" s="10">
        <f>SUM(K63:K68)</f>
        <v>20.336653770500014</v>
      </c>
      <c r="L62" s="76">
        <f>SUM(L63:L68)</f>
        <v>3.0002899997327859E-4</v>
      </c>
      <c r="M62" s="76">
        <f>SUM(M63:M68)</f>
        <v>-12.232715111500001</v>
      </c>
      <c r="N62" s="11">
        <f>SUM(N63:N68)</f>
        <v>-0.32428681850000096</v>
      </c>
    </row>
    <row r="63" spans="1:35" outlineLevel="1" x14ac:dyDescent="0.2">
      <c r="A63" s="59" t="s">
        <v>65</v>
      </c>
      <c r="B63" s="3">
        <v>0.1</v>
      </c>
      <c r="C63" s="58">
        <v>0</v>
      </c>
      <c r="D63" s="60">
        <f>B63-C63</f>
        <v>0.1</v>
      </c>
      <c r="E63" s="64">
        <v>119.08428293</v>
      </c>
      <c r="F63" s="6">
        <v>0</v>
      </c>
      <c r="G63" s="7">
        <v>119.08428293</v>
      </c>
      <c r="H63" s="8">
        <f>E63*B63</f>
        <v>11.908428293</v>
      </c>
      <c r="I63" s="6">
        <f>F63*C63</f>
        <v>0</v>
      </c>
      <c r="J63" s="7">
        <f>H63-I63</f>
        <v>11.908428293</v>
      </c>
      <c r="K63" s="8">
        <v>0</v>
      </c>
      <c r="L63" s="6">
        <v>0</v>
      </c>
      <c r="M63" s="6">
        <v>0</v>
      </c>
      <c r="N63" s="7">
        <f>J63-D63*$F$62</f>
        <v>-0.32428681850000096</v>
      </c>
    </row>
    <row r="64" spans="1:35" outlineLevel="1" x14ac:dyDescent="0.2">
      <c r="A64" s="59" t="s">
        <v>66</v>
      </c>
      <c r="B64" s="3">
        <v>0.35</v>
      </c>
      <c r="C64" s="58">
        <v>0.5</v>
      </c>
      <c r="D64" s="60">
        <f t="shared" ref="D64:D68" si="38">B64-C64</f>
        <v>-0.15000000000000002</v>
      </c>
      <c r="E64" s="64">
        <v>-213.24453690999999</v>
      </c>
      <c r="F64" s="6">
        <v>-213.24453690000001</v>
      </c>
      <c r="G64" s="7">
        <v>0</v>
      </c>
      <c r="H64" s="8">
        <f t="shared" ref="H64:H68" si="39">E64*B64</f>
        <v>-74.635587918499994</v>
      </c>
      <c r="I64" s="6">
        <f t="shared" ref="I64:I68" si="40">F64*C64</f>
        <v>-106.62226845000001</v>
      </c>
      <c r="J64" s="7">
        <f t="shared" ref="J64:J68" si="41">H64-I64</f>
        <v>31.986680531500014</v>
      </c>
      <c r="K64" s="8">
        <f>IF(AND(B64&gt;C64),D64*(E64-$F$62),IF(B64&lt;C64,D64*(F64-$F$62),J64))</f>
        <v>50.335753202250011</v>
      </c>
      <c r="L64" s="6">
        <f>H64-(B64*F64)</f>
        <v>-3.4999914078071015E-9</v>
      </c>
      <c r="M64" s="6">
        <v>0</v>
      </c>
      <c r="N64" s="7">
        <v>0</v>
      </c>
    </row>
    <row r="65" spans="1:35" outlineLevel="1" x14ac:dyDescent="0.2">
      <c r="A65" s="59" t="s">
        <v>67</v>
      </c>
      <c r="B65" s="3">
        <v>0.4</v>
      </c>
      <c r="C65" s="58">
        <v>0.45</v>
      </c>
      <c r="D65" s="60">
        <f t="shared" si="38"/>
        <v>-4.9999999999999989E-2</v>
      </c>
      <c r="E65" s="64">
        <v>495.05059084999999</v>
      </c>
      <c r="F65" s="6">
        <v>495.04950000000002</v>
      </c>
      <c r="G65" s="7">
        <v>1.0908000000000001E-3</v>
      </c>
      <c r="H65" s="8">
        <f t="shared" si="39"/>
        <v>198.02023634</v>
      </c>
      <c r="I65" s="6">
        <f t="shared" si="40"/>
        <v>222.77227500000001</v>
      </c>
      <c r="J65" s="7">
        <f t="shared" si="41"/>
        <v>-24.752038660000011</v>
      </c>
      <c r="K65" s="8">
        <f t="shared" ref="K65:K67" si="42">IF(AND(B65&gt;C65),D65*(E65-$F$62),IF(B65&lt;C65,D65*(F65-$F$62),J65))</f>
        <v>-18.636117444249997</v>
      </c>
      <c r="L65" s="6">
        <f t="shared" ref="L65:L68" si="43">H65-(B65*F65)</f>
        <v>4.3633999996472994E-4</v>
      </c>
      <c r="M65" s="6">
        <v>0</v>
      </c>
      <c r="N65" s="7">
        <v>0</v>
      </c>
    </row>
    <row r="66" spans="1:35" outlineLevel="1" x14ac:dyDescent="0.2">
      <c r="A66" s="59" t="s">
        <v>68</v>
      </c>
      <c r="B66" s="3">
        <v>0</v>
      </c>
      <c r="C66" s="58">
        <v>0.05</v>
      </c>
      <c r="D66" s="60">
        <f t="shared" si="38"/>
        <v>-0.05</v>
      </c>
      <c r="E66" s="64">
        <v>123.54343521</v>
      </c>
      <c r="F66" s="6">
        <v>123.54289129999999</v>
      </c>
      <c r="G66" s="7">
        <v>5.4390999999999999E-4</v>
      </c>
      <c r="H66" s="8">
        <f t="shared" si="39"/>
        <v>0</v>
      </c>
      <c r="I66" s="6">
        <f t="shared" si="40"/>
        <v>6.1771445649999999</v>
      </c>
      <c r="J66" s="7">
        <f t="shared" si="41"/>
        <v>-6.1771445649999999</v>
      </c>
      <c r="K66" s="8">
        <f t="shared" si="42"/>
        <v>-6.0787009249999358E-2</v>
      </c>
      <c r="L66" s="6">
        <f t="shared" si="43"/>
        <v>0</v>
      </c>
      <c r="M66" s="6">
        <v>0</v>
      </c>
      <c r="N66" s="7">
        <v>0</v>
      </c>
    </row>
    <row r="67" spans="1:35" outlineLevel="1" x14ac:dyDescent="0.2">
      <c r="A67" s="59" t="s">
        <v>69</v>
      </c>
      <c r="B67" s="3">
        <v>0.05</v>
      </c>
      <c r="C67" s="58">
        <v>0</v>
      </c>
      <c r="D67" s="60">
        <f t="shared" si="38"/>
        <v>0.05</v>
      </c>
      <c r="E67" s="64">
        <v>-103.71674845</v>
      </c>
      <c r="F67" s="6">
        <v>-103.7140223</v>
      </c>
      <c r="G67" s="7">
        <v>-2.7261500000000001E-3</v>
      </c>
      <c r="H67" s="8">
        <f t="shared" si="39"/>
        <v>-5.1858374225000006</v>
      </c>
      <c r="I67" s="6">
        <f t="shared" si="40"/>
        <v>0</v>
      </c>
      <c r="J67" s="7">
        <f t="shared" si="41"/>
        <v>-5.1858374225000006</v>
      </c>
      <c r="K67" s="8">
        <f t="shared" si="42"/>
        <v>-11.30219497825</v>
      </c>
      <c r="L67" s="6">
        <f t="shared" si="43"/>
        <v>-1.3630750000004355E-4</v>
      </c>
      <c r="M67" s="6">
        <v>0</v>
      </c>
      <c r="N67" s="7">
        <v>0</v>
      </c>
    </row>
    <row r="68" spans="1:35" ht="13.5" outlineLevel="1" thickBot="1" x14ac:dyDescent="0.25">
      <c r="A68" s="57" t="s">
        <v>70</v>
      </c>
      <c r="B68" s="61">
        <v>0.1</v>
      </c>
      <c r="C68" s="62">
        <v>0</v>
      </c>
      <c r="D68" s="63">
        <f t="shared" si="38"/>
        <v>0.1</v>
      </c>
      <c r="E68" s="65">
        <v>0</v>
      </c>
      <c r="F68" s="66">
        <v>0</v>
      </c>
      <c r="G68" s="67">
        <v>0</v>
      </c>
      <c r="H68" s="68">
        <f t="shared" si="39"/>
        <v>0</v>
      </c>
      <c r="I68" s="66">
        <f t="shared" si="40"/>
        <v>0</v>
      </c>
      <c r="J68" s="67">
        <f t="shared" si="41"/>
        <v>0</v>
      </c>
      <c r="K68" s="68">
        <v>0</v>
      </c>
      <c r="L68" s="66">
        <f t="shared" si="43"/>
        <v>0</v>
      </c>
      <c r="M68" s="66">
        <f>J68-D68*$F$62</f>
        <v>-12.232715111500001</v>
      </c>
      <c r="N68" s="67">
        <v>0</v>
      </c>
    </row>
    <row r="69" spans="1:35" x14ac:dyDescent="0.2">
      <c r="A69" s="37"/>
      <c r="B69" s="39"/>
      <c r="C69" s="47"/>
      <c r="D69" s="47"/>
      <c r="E69" s="47"/>
    </row>
    <row r="70" spans="1:35" x14ac:dyDescent="0.2">
      <c r="A70" s="115" t="s">
        <v>71</v>
      </c>
      <c r="B70" s="39"/>
      <c r="C70" s="47"/>
      <c r="D70" s="47"/>
      <c r="E70" s="47"/>
    </row>
    <row r="71" spans="1:35" outlineLevel="1" x14ac:dyDescent="0.2">
      <c r="A71" s="37"/>
      <c r="B71" s="39"/>
      <c r="C71" s="47"/>
      <c r="D71" s="47"/>
      <c r="E71" s="47"/>
    </row>
    <row r="72" spans="1:35" outlineLevel="1" x14ac:dyDescent="0.2">
      <c r="A72" s="41" t="s">
        <v>1</v>
      </c>
      <c r="B72" s="41" t="s">
        <v>2</v>
      </c>
      <c r="C72" s="47"/>
      <c r="D72" s="47"/>
      <c r="E72" s="47"/>
      <c r="G72" s="40"/>
    </row>
    <row r="73" spans="1:35" outlineLevel="1" x14ac:dyDescent="0.2">
      <c r="A73" s="41" t="s">
        <v>3</v>
      </c>
      <c r="B73" s="41" t="s">
        <v>4</v>
      </c>
      <c r="C73" s="47"/>
      <c r="D73" s="47"/>
      <c r="E73" s="47"/>
    </row>
    <row r="74" spans="1:35" outlineLevel="1" x14ac:dyDescent="0.2">
      <c r="A74" s="41"/>
      <c r="B74" s="41"/>
      <c r="C74" s="47"/>
      <c r="D74" s="47"/>
      <c r="E74" s="47"/>
    </row>
    <row r="75" spans="1:35" outlineLevel="1" x14ac:dyDescent="0.2">
      <c r="A75" s="116" t="s">
        <v>5</v>
      </c>
      <c r="B75" s="116" t="s">
        <v>6</v>
      </c>
      <c r="C75" s="128" t="s">
        <v>7</v>
      </c>
      <c r="D75" s="128"/>
      <c r="E75" s="128"/>
      <c r="F75" s="128"/>
      <c r="G75" s="128"/>
      <c r="H75" s="128"/>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c r="AI75" s="128"/>
    </row>
    <row r="76" spans="1:35" outlineLevel="1" x14ac:dyDescent="0.2">
      <c r="A76" s="36" t="s">
        <v>72</v>
      </c>
      <c r="B76" s="36" t="s">
        <v>58</v>
      </c>
      <c r="C76" s="129" t="s">
        <v>73</v>
      </c>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row>
    <row r="77" spans="1:35" ht="13.5" outlineLevel="1" thickBot="1" x14ac:dyDescent="0.25">
      <c r="A77" s="41"/>
      <c r="B77" s="77"/>
      <c r="C77" s="47"/>
      <c r="D77" s="47"/>
      <c r="E77" s="47"/>
    </row>
    <row r="78" spans="1:35" ht="13.5" outlineLevel="1" thickBot="1" x14ac:dyDescent="0.25">
      <c r="A78" s="32"/>
      <c r="B78" s="143" t="s">
        <v>21</v>
      </c>
      <c r="C78" s="144"/>
      <c r="D78" s="144"/>
      <c r="E78" s="146"/>
      <c r="F78" s="146"/>
      <c r="G78" s="146"/>
      <c r="H78" s="146"/>
      <c r="I78" s="143" t="s">
        <v>20</v>
      </c>
      <c r="J78" s="144"/>
      <c r="K78" s="144"/>
      <c r="L78" s="145"/>
    </row>
    <row r="79" spans="1:35" outlineLevel="1" x14ac:dyDescent="0.2">
      <c r="B79" s="139" t="s">
        <v>27</v>
      </c>
      <c r="C79" s="140"/>
      <c r="D79" s="141"/>
      <c r="E79" s="139" t="s">
        <v>74</v>
      </c>
      <c r="F79" s="140"/>
      <c r="G79" s="140"/>
      <c r="H79" s="141"/>
      <c r="I79" s="111" t="s">
        <v>28</v>
      </c>
      <c r="J79" s="130" t="s">
        <v>75</v>
      </c>
      <c r="K79" s="137"/>
      <c r="L79" s="131"/>
    </row>
    <row r="80" spans="1:35" outlineLevel="1" x14ac:dyDescent="0.2">
      <c r="B80" s="113"/>
      <c r="C80" s="112" t="s">
        <v>61</v>
      </c>
      <c r="D80" s="114"/>
      <c r="E80" s="79"/>
      <c r="H80" s="114"/>
      <c r="I80" s="78"/>
      <c r="J80" s="138" t="s">
        <v>62</v>
      </c>
      <c r="K80" s="132"/>
      <c r="L80" s="133"/>
    </row>
    <row r="81" spans="1:19" outlineLevel="1" x14ac:dyDescent="0.2">
      <c r="B81" s="113" t="s">
        <v>31</v>
      </c>
      <c r="C81" s="112" t="s">
        <v>32</v>
      </c>
      <c r="D81" s="114" t="s">
        <v>33</v>
      </c>
      <c r="E81" s="113" t="s">
        <v>31</v>
      </c>
      <c r="F81" s="112" t="s">
        <v>32</v>
      </c>
      <c r="G81" s="112" t="s">
        <v>33</v>
      </c>
      <c r="H81" s="114" t="s">
        <v>76</v>
      </c>
      <c r="I81" s="114" t="s">
        <v>33</v>
      </c>
      <c r="J81" s="79" t="s">
        <v>77</v>
      </c>
      <c r="K81" s="1" t="s">
        <v>78</v>
      </c>
      <c r="L81" s="78" t="s">
        <v>79</v>
      </c>
    </row>
    <row r="82" spans="1:19" outlineLevel="1" x14ac:dyDescent="0.2">
      <c r="A82" s="90" t="s">
        <v>31</v>
      </c>
      <c r="B82" s="84">
        <f>B83+B88</f>
        <v>1</v>
      </c>
      <c r="C82" s="85">
        <v>1</v>
      </c>
      <c r="D82" s="86">
        <v>0</v>
      </c>
      <c r="E82" s="87">
        <f>SUMPRODUCT(B98:B105,E98:E105)</f>
        <v>-35.285976352817826</v>
      </c>
      <c r="F82" s="88">
        <f>SUMPRODUCT(C98:C105,F98:F105)</f>
        <v>-45.014501375163633</v>
      </c>
      <c r="G82" s="88">
        <f>E82-F82</f>
        <v>9.7285250223458064</v>
      </c>
      <c r="H82" s="89">
        <f>SUMPRODUCT(B98:B105,H98:H105)</f>
        <v>-30.016837294586644</v>
      </c>
      <c r="I82" s="89">
        <f>G82-J82</f>
        <v>14.997664080576989</v>
      </c>
      <c r="J82" s="87">
        <f>SUMPRODUCT(B98:B105,J98:J105)</f>
        <v>-5.2691390582311826</v>
      </c>
      <c r="K82" s="88">
        <f>K83+K88</f>
        <v>-0.2474428380353573</v>
      </c>
      <c r="L82" s="89">
        <f>L83+L88</f>
        <v>15.245106918612347</v>
      </c>
    </row>
    <row r="83" spans="1:19" outlineLevel="1" x14ac:dyDescent="0.2">
      <c r="A83" s="91" t="s">
        <v>80</v>
      </c>
      <c r="B83" s="92">
        <f>SUM(B84:B87)</f>
        <v>0.32</v>
      </c>
      <c r="C83" s="93">
        <f>SUM(C84:C87)</f>
        <v>0.3</v>
      </c>
      <c r="D83" s="94">
        <f>B83-C83</f>
        <v>2.0000000000000018E-2</v>
      </c>
      <c r="E83" s="95">
        <f>SUMPRODUCT(B84:B87,E84:E87)/B83</f>
        <v>-23.983029556877689</v>
      </c>
      <c r="F83" s="96">
        <f>SUMPRODUCT(C84:C87,F84:F87)/C83</f>
        <v>-53.67500070640115</v>
      </c>
      <c r="G83" s="96">
        <f>E83-F83</f>
        <v>29.691971149523461</v>
      </c>
      <c r="H83" s="97">
        <f>SUMPRODUCT(B84:B87,H84:H87)/B83</f>
        <v>-26.684177674662166</v>
      </c>
      <c r="I83" s="97">
        <f t="shared" ref="I83:I92" si="44">G83-J83</f>
        <v>26.99082303173898</v>
      </c>
      <c r="J83" s="95">
        <f>SUMPRODUCT(B84:B87,J84:J87)/B83</f>
        <v>2.7011481177844812</v>
      </c>
      <c r="K83" s="96">
        <f>(F83-$F$82)*D83</f>
        <v>-0.17320998662475048</v>
      </c>
      <c r="L83" s="97">
        <f>B83*I83</f>
        <v>8.6370633701564739</v>
      </c>
    </row>
    <row r="84" spans="1:19" outlineLevel="1" x14ac:dyDescent="0.2">
      <c r="A84" s="98" t="s">
        <v>81</v>
      </c>
      <c r="B84" s="99">
        <v>0</v>
      </c>
      <c r="C84" s="100">
        <v>0.3</v>
      </c>
      <c r="D84" s="101">
        <f>B84-C84</f>
        <v>-0.3</v>
      </c>
      <c r="E84" s="102">
        <v>0</v>
      </c>
      <c r="F84" s="103">
        <v>-53.675000706401143</v>
      </c>
      <c r="G84" s="103">
        <v>53.675000706401143</v>
      </c>
      <c r="H84" s="104">
        <v>0</v>
      </c>
      <c r="I84" s="104">
        <f t="shared" si="44"/>
        <v>53.675000706401143</v>
      </c>
      <c r="J84" s="102">
        <f>IF(H84=0,0,E84-H84)</f>
        <v>0</v>
      </c>
      <c r="K84" s="105"/>
      <c r="L84" s="104">
        <f>(H84-$G$84)*B84</f>
        <v>0</v>
      </c>
    </row>
    <row r="85" spans="1:19" outlineLevel="1" x14ac:dyDescent="0.2">
      <c r="A85" s="98" t="s">
        <v>82</v>
      </c>
      <c r="B85" s="99">
        <v>0.1</v>
      </c>
      <c r="C85" s="100">
        <v>0</v>
      </c>
      <c r="D85" s="101">
        <f t="shared" ref="D85:D92" si="45">B85-C85</f>
        <v>0.1</v>
      </c>
      <c r="E85" s="102">
        <v>-17.220213937462621</v>
      </c>
      <c r="F85" s="103">
        <v>0</v>
      </c>
      <c r="G85" s="103">
        <v>-17.220213937462621</v>
      </c>
      <c r="H85" s="104">
        <v>-7.4874217174659812</v>
      </c>
      <c r="I85" s="104">
        <f t="shared" si="44"/>
        <v>-7.4874217174659812</v>
      </c>
      <c r="J85" s="102">
        <f>IF(H85=0,0,E85-H85)</f>
        <v>-9.7327922199966395</v>
      </c>
      <c r="K85" s="105"/>
      <c r="L85" s="104">
        <f t="shared" ref="L85:L87" si="46">(H85-$G$84)*B85</f>
        <v>-6.1162422423867131</v>
      </c>
    </row>
    <row r="86" spans="1:19" outlineLevel="1" x14ac:dyDescent="0.2">
      <c r="A86" s="98" t="s">
        <v>83</v>
      </c>
      <c r="B86" s="99">
        <v>0.14000000000000001</v>
      </c>
      <c r="C86" s="100">
        <v>0</v>
      </c>
      <c r="D86" s="101">
        <f t="shared" si="45"/>
        <v>0.14000000000000001</v>
      </c>
      <c r="E86" s="102">
        <v>-48.882681564245594</v>
      </c>
      <c r="F86" s="103">
        <v>0</v>
      </c>
      <c r="G86" s="103">
        <v>-48.882681564245594</v>
      </c>
      <c r="H86" s="104">
        <v>-46.348177873411785</v>
      </c>
      <c r="I86" s="104">
        <f t="shared" si="44"/>
        <v>-46.348177873411785</v>
      </c>
      <c r="J86" s="102">
        <f>IF(H86=0,0,E86-H86)</f>
        <v>-2.5345036908338088</v>
      </c>
      <c r="K86" s="105"/>
      <c r="L86" s="104">
        <f t="shared" si="46"/>
        <v>-14.003245001173813</v>
      </c>
    </row>
    <row r="87" spans="1:19" outlineLevel="1" x14ac:dyDescent="0.2">
      <c r="A87" s="98" t="s">
        <v>84</v>
      </c>
      <c r="B87" s="99">
        <v>0.08</v>
      </c>
      <c r="C87" s="100">
        <v>0</v>
      </c>
      <c r="D87" s="101">
        <f t="shared" si="45"/>
        <v>0.08</v>
      </c>
      <c r="E87" s="102">
        <v>11.137841931747317</v>
      </c>
      <c r="F87" s="103">
        <v>0</v>
      </c>
      <c r="G87" s="103">
        <v>11.137841931747317</v>
      </c>
      <c r="H87" s="104">
        <v>-16.268122273345572</v>
      </c>
      <c r="I87" s="104">
        <f t="shared" si="44"/>
        <v>-16.268122273345572</v>
      </c>
      <c r="J87" s="102">
        <f>IF(H87=0,0,E87-H87)</f>
        <v>27.405964205092889</v>
      </c>
      <c r="K87" s="105"/>
      <c r="L87" s="104">
        <f t="shared" si="46"/>
        <v>-5.5954498383797375</v>
      </c>
    </row>
    <row r="88" spans="1:19" outlineLevel="1" x14ac:dyDescent="0.2">
      <c r="A88" s="91" t="s">
        <v>85</v>
      </c>
      <c r="B88" s="92">
        <f>SUM(B89:B92)</f>
        <v>0.68</v>
      </c>
      <c r="C88" s="93">
        <v>0.7</v>
      </c>
      <c r="D88" s="94">
        <f t="shared" si="45"/>
        <v>-1.9999999999999907E-2</v>
      </c>
      <c r="E88" s="95">
        <f>SUMPRODUCT(B89:B92,E89:E92)/B88</f>
        <v>-40.6050101391426</v>
      </c>
      <c r="F88" s="96">
        <f>SUMPRODUCT(C89:C92,F89:F92)/C88</f>
        <v>-41.302858804633274</v>
      </c>
      <c r="G88" s="96">
        <f>E88-F88</f>
        <v>0.69784866549067459</v>
      </c>
      <c r="H88" s="97">
        <f>SUMPRODUCT(B89:B92,H89:H92)/B88</f>
        <v>-31.585147703962871</v>
      </c>
      <c r="I88" s="97">
        <f t="shared" si="44"/>
        <v>9.7177111006704013</v>
      </c>
      <c r="J88" s="95">
        <f>SUMPRODUCT(B89:B92,J89:J92)/B88</f>
        <v>-9.0198624351797267</v>
      </c>
      <c r="K88" s="96">
        <f>(F88-$F$82)*D88</f>
        <v>-7.4232851410606815E-2</v>
      </c>
      <c r="L88" s="97">
        <f>B88*I88</f>
        <v>6.6080435484558731</v>
      </c>
    </row>
    <row r="89" spans="1:19" outlineLevel="1" x14ac:dyDescent="0.2">
      <c r="A89" s="98" t="s">
        <v>86</v>
      </c>
      <c r="B89" s="99">
        <v>0</v>
      </c>
      <c r="C89" s="100">
        <v>0.7</v>
      </c>
      <c r="D89" s="101">
        <f t="shared" si="45"/>
        <v>-0.7</v>
      </c>
      <c r="E89" s="102">
        <v>0</v>
      </c>
      <c r="F89" s="103">
        <v>-41.302858804633274</v>
      </c>
      <c r="G89" s="103">
        <v>41.302858804633274</v>
      </c>
      <c r="H89" s="104">
        <v>0</v>
      </c>
      <c r="I89" s="104">
        <f t="shared" si="44"/>
        <v>41.302858804633274</v>
      </c>
      <c r="J89" s="102">
        <f>IF(H89=0,0,E89-H89)</f>
        <v>0</v>
      </c>
      <c r="K89" s="105"/>
      <c r="L89" s="104">
        <f>(H89-$G$84)*B89</f>
        <v>0</v>
      </c>
    </row>
    <row r="90" spans="1:19" outlineLevel="1" x14ac:dyDescent="0.2">
      <c r="A90" s="98" t="s">
        <v>87</v>
      </c>
      <c r="B90" s="99">
        <v>0.23</v>
      </c>
      <c r="C90" s="100">
        <v>0</v>
      </c>
      <c r="D90" s="101">
        <f t="shared" si="45"/>
        <v>0.23</v>
      </c>
      <c r="E90" s="102">
        <v>-65.935917026626356</v>
      </c>
      <c r="F90" s="103">
        <v>0</v>
      </c>
      <c r="G90" s="103">
        <v>-65.935917026626356</v>
      </c>
      <c r="H90" s="104">
        <v>-7.7102408242650915</v>
      </c>
      <c r="I90" s="104">
        <f t="shared" si="44"/>
        <v>-7.7102408242650924</v>
      </c>
      <c r="J90" s="102">
        <f t="shared" ref="J90:J92" si="47">IF(H90=0,0,E90-H90)</f>
        <v>-58.225676202361264</v>
      </c>
      <c r="K90" s="105"/>
      <c r="L90" s="104">
        <f t="shared" ref="L90:L92" si="48">(H90-$G$84)*B90</f>
        <v>-14.118605552053234</v>
      </c>
      <c r="Q90" s="48"/>
      <c r="R90" s="48"/>
    </row>
    <row r="91" spans="1:19" outlineLevel="1" x14ac:dyDescent="0.2">
      <c r="A91" s="35" t="s">
        <v>88</v>
      </c>
      <c r="B91" s="107">
        <v>0.19</v>
      </c>
      <c r="C91" s="108">
        <v>0</v>
      </c>
      <c r="D91" s="109">
        <f t="shared" si="45"/>
        <v>0.19</v>
      </c>
      <c r="E91" s="8">
        <v>-10.939167556029725</v>
      </c>
      <c r="F91" s="6">
        <v>0</v>
      </c>
      <c r="G91" s="6">
        <v>-10.939167556029725</v>
      </c>
      <c r="H91" s="7">
        <v>-36.816041275841734</v>
      </c>
      <c r="I91" s="7">
        <f t="shared" si="44"/>
        <v>-36.816041275841734</v>
      </c>
      <c r="J91" s="8">
        <f t="shared" si="47"/>
        <v>25.876873719812011</v>
      </c>
      <c r="K91" s="110"/>
      <c r="L91" s="7">
        <f t="shared" si="48"/>
        <v>-17.193297976626148</v>
      </c>
      <c r="Q91" s="48"/>
      <c r="R91" s="48"/>
    </row>
    <row r="92" spans="1:19" ht="13.5" outlineLevel="1" thickBot="1" x14ac:dyDescent="0.25">
      <c r="A92" s="106" t="s">
        <v>89</v>
      </c>
      <c r="B92" s="81">
        <v>0.26</v>
      </c>
      <c r="C92" s="82">
        <v>0</v>
      </c>
      <c r="D92" s="83">
        <f t="shared" si="45"/>
        <v>0.26</v>
      </c>
      <c r="E92" s="68">
        <v>-39.875785164797151</v>
      </c>
      <c r="F92" s="66">
        <v>0</v>
      </c>
      <c r="G92" s="66">
        <v>-39.875785164797151</v>
      </c>
      <c r="H92" s="67">
        <v>-48.882681564245587</v>
      </c>
      <c r="I92" s="67">
        <f t="shared" si="44"/>
        <v>-48.882681564245587</v>
      </c>
      <c r="J92" s="68">
        <f t="shared" si="47"/>
        <v>9.0068963994484363</v>
      </c>
      <c r="K92" s="80"/>
      <c r="L92" s="67">
        <f t="shared" si="48"/>
        <v>-26.66499739036815</v>
      </c>
      <c r="Q92" s="48"/>
      <c r="R92" s="48"/>
    </row>
    <row r="93" spans="1:19" ht="13.5" outlineLevel="1" thickBot="1" x14ac:dyDescent="0.25">
      <c r="R93" s="48"/>
      <c r="S93" s="48"/>
    </row>
    <row r="94" spans="1:19" outlineLevel="1" x14ac:dyDescent="0.2">
      <c r="B94" s="139" t="s">
        <v>27</v>
      </c>
      <c r="C94" s="140"/>
      <c r="D94" s="141"/>
      <c r="E94" s="139" t="s">
        <v>74</v>
      </c>
      <c r="F94" s="140"/>
      <c r="G94" s="140"/>
      <c r="H94" s="141"/>
      <c r="I94" s="111" t="s">
        <v>28</v>
      </c>
      <c r="J94" s="130" t="s">
        <v>75</v>
      </c>
      <c r="K94" s="137"/>
      <c r="L94" s="131"/>
      <c r="R94" s="48"/>
      <c r="S94" s="48"/>
    </row>
    <row r="95" spans="1:19" outlineLevel="1" x14ac:dyDescent="0.2">
      <c r="B95" s="113"/>
      <c r="C95" s="112" t="s">
        <v>61</v>
      </c>
      <c r="D95" s="114"/>
      <c r="E95" s="79"/>
      <c r="H95" s="114"/>
      <c r="I95" s="78"/>
      <c r="J95" s="138" t="s">
        <v>62</v>
      </c>
      <c r="K95" s="132"/>
      <c r="L95" s="133"/>
      <c r="R95" s="48"/>
      <c r="S95" s="48"/>
    </row>
    <row r="96" spans="1:19" outlineLevel="1" x14ac:dyDescent="0.2">
      <c r="B96" s="113" t="s">
        <v>31</v>
      </c>
      <c r="C96" s="112" t="s">
        <v>32</v>
      </c>
      <c r="D96" s="114" t="s">
        <v>33</v>
      </c>
      <c r="E96" s="113" t="s">
        <v>31</v>
      </c>
      <c r="F96" s="112" t="s">
        <v>32</v>
      </c>
      <c r="G96" s="112" t="s">
        <v>33</v>
      </c>
      <c r="H96" s="114" t="s">
        <v>76</v>
      </c>
      <c r="I96" s="114" t="s">
        <v>33</v>
      </c>
      <c r="J96" s="79" t="s">
        <v>77</v>
      </c>
      <c r="K96" s="1" t="s">
        <v>78</v>
      </c>
      <c r="L96" s="78" t="s">
        <v>79</v>
      </c>
      <c r="R96" s="48"/>
      <c r="S96" s="48"/>
    </row>
    <row r="97" spans="1:19" outlineLevel="1" x14ac:dyDescent="0.2">
      <c r="A97" s="90" t="s">
        <v>31</v>
      </c>
      <c r="B97" s="84">
        <f>B82</f>
        <v>1</v>
      </c>
      <c r="C97" s="85">
        <f t="shared" ref="C97:H97" si="49">C82</f>
        <v>1</v>
      </c>
      <c r="D97" s="86">
        <f t="shared" si="49"/>
        <v>0</v>
      </c>
      <c r="E97" s="87">
        <f t="shared" si="49"/>
        <v>-35.285976352817826</v>
      </c>
      <c r="F97" s="88">
        <f t="shared" si="49"/>
        <v>-45.014501375163633</v>
      </c>
      <c r="G97" s="88">
        <f t="shared" si="49"/>
        <v>9.7285250223458064</v>
      </c>
      <c r="H97" s="89">
        <f t="shared" si="49"/>
        <v>-30.016837294586644</v>
      </c>
      <c r="I97" s="89">
        <f>G97-J97</f>
        <v>14.997664080576989</v>
      </c>
      <c r="J97" s="87">
        <f>J82</f>
        <v>-5.2691390582311826</v>
      </c>
      <c r="K97" s="88">
        <f>K82</f>
        <v>-0.2474428380353573</v>
      </c>
      <c r="L97" s="89">
        <f>L82</f>
        <v>15.245106918612347</v>
      </c>
      <c r="M97" s="48"/>
      <c r="N97" s="48"/>
      <c r="O97" s="48"/>
      <c r="P97" s="48"/>
      <c r="Q97" s="48"/>
      <c r="R97" s="48"/>
      <c r="S97" s="48"/>
    </row>
    <row r="98" spans="1:19" outlineLevel="1" x14ac:dyDescent="0.2">
      <c r="A98" s="98" t="s">
        <v>81</v>
      </c>
      <c r="B98" s="99">
        <v>0</v>
      </c>
      <c r="C98" s="100">
        <v>0.3</v>
      </c>
      <c r="D98" s="101">
        <f>B98-C98</f>
        <v>-0.3</v>
      </c>
      <c r="E98" s="102">
        <v>0</v>
      </c>
      <c r="F98" s="103">
        <v>-53.675000706401143</v>
      </c>
      <c r="G98" s="103">
        <v>53.675000706401143</v>
      </c>
      <c r="H98" s="104">
        <v>0</v>
      </c>
      <c r="I98" s="104">
        <v>53.675000706401143</v>
      </c>
      <c r="J98" s="102">
        <v>0</v>
      </c>
      <c r="K98" s="105"/>
      <c r="L98" s="104">
        <f>(H98-$G$84)*B98</f>
        <v>0</v>
      </c>
      <c r="M98" s="48"/>
      <c r="N98" s="48"/>
      <c r="O98" s="48"/>
      <c r="P98" s="48"/>
      <c r="Q98" s="48"/>
      <c r="R98" s="48"/>
      <c r="S98" s="48"/>
    </row>
    <row r="99" spans="1:19" outlineLevel="1" x14ac:dyDescent="0.2">
      <c r="A99" s="98" t="s">
        <v>82</v>
      </c>
      <c r="B99" s="99">
        <v>0.1</v>
      </c>
      <c r="C99" s="100">
        <v>0</v>
      </c>
      <c r="D99" s="101">
        <f t="shared" ref="D99:D105" si="50">B99-C99</f>
        <v>0.1</v>
      </c>
      <c r="E99" s="102">
        <v>-17.220213937462621</v>
      </c>
      <c r="F99" s="103">
        <v>0</v>
      </c>
      <c r="G99" s="103">
        <v>-17.220213937462621</v>
      </c>
      <c r="H99" s="104">
        <v>-7.4874217174659812</v>
      </c>
      <c r="I99" s="104">
        <v>-7.4874217174659812</v>
      </c>
      <c r="J99" s="102">
        <v>-9.7327922199966395</v>
      </c>
      <c r="K99" s="105"/>
      <c r="L99" s="104">
        <f t="shared" ref="L99:L101" si="51">(H99-$G$84)*B99</f>
        <v>-6.1162422423867131</v>
      </c>
      <c r="M99" s="48"/>
      <c r="N99" s="48"/>
      <c r="O99" s="48"/>
      <c r="P99" s="48"/>
      <c r="Q99" s="48"/>
      <c r="R99" s="48"/>
      <c r="S99" s="48"/>
    </row>
    <row r="100" spans="1:19" outlineLevel="1" x14ac:dyDescent="0.2">
      <c r="A100" s="98" t="s">
        <v>83</v>
      </c>
      <c r="B100" s="99">
        <v>0.14000000000000001</v>
      </c>
      <c r="C100" s="100">
        <v>0</v>
      </c>
      <c r="D100" s="101">
        <f t="shared" si="50"/>
        <v>0.14000000000000001</v>
      </c>
      <c r="E100" s="102">
        <v>-48.882681564245594</v>
      </c>
      <c r="F100" s="103">
        <v>0</v>
      </c>
      <c r="G100" s="103">
        <v>-48.882681564245594</v>
      </c>
      <c r="H100" s="104">
        <v>-46.348177873411785</v>
      </c>
      <c r="I100" s="104">
        <v>-46.348177873411785</v>
      </c>
      <c r="J100" s="102">
        <v>-2.5345036908338088</v>
      </c>
      <c r="K100" s="105"/>
      <c r="L100" s="104">
        <f t="shared" si="51"/>
        <v>-14.003245001173813</v>
      </c>
      <c r="M100" s="48"/>
      <c r="N100" s="48"/>
      <c r="O100" s="48"/>
      <c r="P100" s="48"/>
      <c r="Q100" s="48"/>
      <c r="R100" s="48"/>
      <c r="S100" s="48"/>
    </row>
    <row r="101" spans="1:19" outlineLevel="1" x14ac:dyDescent="0.2">
      <c r="A101" s="98" t="s">
        <v>84</v>
      </c>
      <c r="B101" s="99">
        <v>0.08</v>
      </c>
      <c r="C101" s="100">
        <v>0</v>
      </c>
      <c r="D101" s="101">
        <f t="shared" si="50"/>
        <v>0.08</v>
      </c>
      <c r="E101" s="102">
        <v>11.137841931747317</v>
      </c>
      <c r="F101" s="103">
        <v>0</v>
      </c>
      <c r="G101" s="103">
        <v>11.137841931747317</v>
      </c>
      <c r="H101" s="104">
        <v>-16.268122273345572</v>
      </c>
      <c r="I101" s="104">
        <v>-16.268122273345572</v>
      </c>
      <c r="J101" s="102">
        <v>27.405964205092889</v>
      </c>
      <c r="K101" s="105"/>
      <c r="L101" s="104">
        <f t="shared" si="51"/>
        <v>-5.5954498383797375</v>
      </c>
      <c r="M101" s="48"/>
      <c r="N101" s="48"/>
      <c r="O101" s="48"/>
      <c r="P101" s="48"/>
      <c r="Q101" s="48"/>
      <c r="R101" s="48"/>
      <c r="S101" s="48"/>
    </row>
    <row r="102" spans="1:19" outlineLevel="1" x14ac:dyDescent="0.2">
      <c r="A102" s="98" t="s">
        <v>86</v>
      </c>
      <c r="B102" s="99">
        <v>0</v>
      </c>
      <c r="C102" s="100">
        <v>0.7</v>
      </c>
      <c r="D102" s="101">
        <f t="shared" si="50"/>
        <v>-0.7</v>
      </c>
      <c r="E102" s="102">
        <v>0</v>
      </c>
      <c r="F102" s="103">
        <v>-41.302858804633274</v>
      </c>
      <c r="G102" s="103">
        <v>41.302858804633274</v>
      </c>
      <c r="H102" s="104">
        <v>0</v>
      </c>
      <c r="I102" s="104">
        <v>41.302858804633274</v>
      </c>
      <c r="J102" s="102">
        <v>0</v>
      </c>
      <c r="K102" s="105"/>
      <c r="L102" s="104">
        <f>(H102-$G$84)*B102</f>
        <v>0</v>
      </c>
      <c r="M102" s="48"/>
      <c r="N102" s="48"/>
      <c r="O102" s="48"/>
      <c r="P102" s="48"/>
      <c r="Q102" s="48"/>
      <c r="R102" s="48"/>
      <c r="S102" s="48"/>
    </row>
    <row r="103" spans="1:19" outlineLevel="1" x14ac:dyDescent="0.2">
      <c r="A103" s="98" t="s">
        <v>87</v>
      </c>
      <c r="B103" s="99">
        <v>0.23</v>
      </c>
      <c r="C103" s="100">
        <v>0</v>
      </c>
      <c r="D103" s="101">
        <f t="shared" si="50"/>
        <v>0.23</v>
      </c>
      <c r="E103" s="102">
        <v>-65.935917026626356</v>
      </c>
      <c r="F103" s="103">
        <v>0</v>
      </c>
      <c r="G103" s="103">
        <v>-65.935917026626356</v>
      </c>
      <c r="H103" s="104">
        <v>-7.7102408242650915</v>
      </c>
      <c r="I103" s="104">
        <v>-7.7102408242650924</v>
      </c>
      <c r="J103" s="102">
        <v>-58.225676202361264</v>
      </c>
      <c r="K103" s="105"/>
      <c r="L103" s="104">
        <f t="shared" ref="L103:L105" si="52">(H103-$G$84)*B103</f>
        <v>-14.118605552053234</v>
      </c>
      <c r="M103" s="48"/>
      <c r="N103" s="48"/>
      <c r="O103" s="48"/>
      <c r="P103" s="48"/>
      <c r="Q103" s="48"/>
      <c r="R103" s="48"/>
      <c r="S103" s="48"/>
    </row>
    <row r="104" spans="1:19" outlineLevel="1" x14ac:dyDescent="0.2">
      <c r="A104" s="35" t="s">
        <v>88</v>
      </c>
      <c r="B104" s="107">
        <v>0.19</v>
      </c>
      <c r="C104" s="108">
        <v>0</v>
      </c>
      <c r="D104" s="109">
        <f t="shared" si="50"/>
        <v>0.19</v>
      </c>
      <c r="E104" s="8">
        <v>-10.939167556029725</v>
      </c>
      <c r="F104" s="6">
        <v>0</v>
      </c>
      <c r="G104" s="6">
        <v>-10.939167556029725</v>
      </c>
      <c r="H104" s="7">
        <v>-36.816041275841734</v>
      </c>
      <c r="I104" s="7">
        <v>-36.816041275841734</v>
      </c>
      <c r="J104" s="8">
        <v>25.876873719812011</v>
      </c>
      <c r="K104" s="110"/>
      <c r="L104" s="7">
        <f t="shared" si="52"/>
        <v>-17.193297976626148</v>
      </c>
      <c r="M104" s="48"/>
      <c r="N104" s="48"/>
      <c r="O104" s="48"/>
      <c r="P104" s="48"/>
      <c r="Q104" s="48"/>
      <c r="R104" s="48"/>
      <c r="S104" s="48"/>
    </row>
    <row r="105" spans="1:19" ht="13.5" outlineLevel="1" thickBot="1" x14ac:dyDescent="0.25">
      <c r="A105" s="106" t="s">
        <v>89</v>
      </c>
      <c r="B105" s="81">
        <v>0.26</v>
      </c>
      <c r="C105" s="82">
        <v>0</v>
      </c>
      <c r="D105" s="83">
        <f t="shared" si="50"/>
        <v>0.26</v>
      </c>
      <c r="E105" s="68">
        <v>-39.875785164797151</v>
      </c>
      <c r="F105" s="66">
        <v>0</v>
      </c>
      <c r="G105" s="66">
        <v>-39.875785164797151</v>
      </c>
      <c r="H105" s="67">
        <v>-48.882681564245587</v>
      </c>
      <c r="I105" s="67">
        <v>-48.882681564245587</v>
      </c>
      <c r="J105" s="68">
        <v>9.0068963994484363</v>
      </c>
      <c r="K105" s="80"/>
      <c r="L105" s="67">
        <f t="shared" si="52"/>
        <v>-26.66499739036815</v>
      </c>
      <c r="M105" s="48"/>
      <c r="N105" s="48"/>
      <c r="O105" s="48"/>
      <c r="P105" s="48"/>
      <c r="Q105" s="48"/>
      <c r="R105" s="48"/>
      <c r="S105" s="48"/>
    </row>
    <row r="106" spans="1:19" x14ac:dyDescent="0.2">
      <c r="A106" s="32"/>
      <c r="C106" s="39"/>
      <c r="D106" s="39"/>
      <c r="E106" s="39"/>
      <c r="F106" s="34"/>
      <c r="G106" s="34"/>
      <c r="H106" s="34"/>
      <c r="I106" s="48"/>
      <c r="J106" s="48"/>
      <c r="K106" s="48"/>
      <c r="L106" s="48"/>
      <c r="M106" s="48"/>
      <c r="N106" s="48"/>
      <c r="O106" s="48"/>
      <c r="P106" s="48"/>
      <c r="Q106" s="48"/>
      <c r="R106" s="48"/>
      <c r="S106" s="48"/>
    </row>
    <row r="108" spans="1:19" x14ac:dyDescent="0.2">
      <c r="A108" s="48"/>
      <c r="B108" s="48"/>
      <c r="C108" s="48"/>
      <c r="D108" s="48"/>
      <c r="E108" s="48"/>
      <c r="F108" s="48"/>
      <c r="G108" s="48"/>
      <c r="H108" s="48"/>
      <c r="I108" s="48"/>
      <c r="J108" s="48"/>
      <c r="K108" s="48"/>
      <c r="L108" s="48"/>
      <c r="M108" s="48"/>
      <c r="N108" s="48"/>
      <c r="O108" s="48"/>
      <c r="P108" s="48"/>
    </row>
    <row r="109" spans="1:19" x14ac:dyDescent="0.2">
      <c r="A109" s="48"/>
      <c r="B109" s="48"/>
      <c r="C109" s="48"/>
      <c r="D109" s="48"/>
      <c r="E109" s="48"/>
      <c r="F109" s="48"/>
      <c r="G109" s="48"/>
      <c r="H109" s="48"/>
      <c r="I109" s="48"/>
      <c r="J109" s="48"/>
      <c r="K109" s="48"/>
      <c r="L109" s="48"/>
      <c r="M109" s="48"/>
      <c r="N109" s="48"/>
      <c r="O109" s="48"/>
      <c r="P109" s="48"/>
    </row>
    <row r="110" spans="1:19" x14ac:dyDescent="0.2">
      <c r="A110" s="48"/>
      <c r="B110" s="48"/>
      <c r="C110" s="48"/>
      <c r="D110" s="48"/>
      <c r="E110" s="48"/>
      <c r="F110" s="48"/>
      <c r="G110" s="48"/>
      <c r="H110" s="48"/>
      <c r="I110" s="48"/>
      <c r="J110" s="48"/>
      <c r="K110" s="48"/>
      <c r="L110" s="48"/>
      <c r="M110" s="48"/>
      <c r="N110" s="48"/>
      <c r="O110" s="48"/>
      <c r="P110" s="48"/>
    </row>
    <row r="111" spans="1:19" x14ac:dyDescent="0.2">
      <c r="A111" s="48"/>
      <c r="B111" s="48"/>
      <c r="C111" s="48"/>
      <c r="D111" s="48"/>
      <c r="E111" s="48"/>
      <c r="F111" s="48"/>
      <c r="G111" s="48"/>
      <c r="H111" s="48"/>
      <c r="I111" s="48"/>
      <c r="J111" s="48"/>
      <c r="K111" s="48"/>
      <c r="L111" s="48"/>
      <c r="M111" s="48"/>
      <c r="N111" s="48"/>
      <c r="O111" s="48"/>
      <c r="P111" s="48"/>
    </row>
    <row r="112" spans="1:19" x14ac:dyDescent="0.2">
      <c r="A112" s="48"/>
      <c r="B112" s="48"/>
      <c r="C112" s="48"/>
      <c r="D112" s="48"/>
      <c r="E112" s="48"/>
      <c r="F112" s="48"/>
      <c r="G112" s="48"/>
      <c r="H112" s="48"/>
      <c r="I112" s="48"/>
      <c r="J112" s="48"/>
      <c r="K112" s="48"/>
      <c r="L112" s="48"/>
      <c r="M112" s="48"/>
      <c r="N112" s="48"/>
      <c r="O112" s="48"/>
      <c r="P112" s="48"/>
    </row>
    <row r="113" spans="1:16" x14ac:dyDescent="0.2">
      <c r="A113" s="48"/>
      <c r="B113" s="48"/>
      <c r="C113" s="48"/>
      <c r="D113" s="48"/>
      <c r="E113" s="48"/>
      <c r="F113" s="48"/>
      <c r="G113" s="48"/>
      <c r="H113" s="48"/>
      <c r="I113" s="48"/>
      <c r="J113" s="48"/>
      <c r="K113" s="48"/>
      <c r="L113" s="48"/>
      <c r="M113" s="48"/>
      <c r="N113" s="48"/>
      <c r="O113" s="48"/>
      <c r="P113" s="48"/>
    </row>
    <row r="114" spans="1:16" x14ac:dyDescent="0.2">
      <c r="A114" s="48"/>
      <c r="B114" s="48"/>
      <c r="C114" s="48"/>
      <c r="D114" s="48"/>
      <c r="E114" s="48"/>
      <c r="F114" s="48"/>
      <c r="G114" s="48"/>
      <c r="H114" s="48"/>
      <c r="I114" s="48"/>
      <c r="J114" s="48"/>
      <c r="K114" s="48"/>
      <c r="L114" s="48"/>
      <c r="M114" s="48"/>
      <c r="N114" s="48"/>
      <c r="O114" s="48"/>
      <c r="P114" s="48"/>
    </row>
    <row r="115" spans="1:16" x14ac:dyDescent="0.2">
      <c r="A115" s="48"/>
      <c r="B115" s="48"/>
      <c r="C115" s="48"/>
      <c r="D115" s="48"/>
      <c r="E115" s="48"/>
      <c r="F115" s="48"/>
      <c r="G115" s="48"/>
      <c r="H115" s="48"/>
      <c r="I115" s="48"/>
      <c r="J115" s="48"/>
      <c r="K115" s="48"/>
      <c r="L115" s="48"/>
      <c r="M115" s="48"/>
      <c r="N115" s="48"/>
      <c r="O115" s="48"/>
      <c r="P115" s="48"/>
    </row>
    <row r="116" spans="1:16" x14ac:dyDescent="0.2">
      <c r="A116" s="48"/>
      <c r="B116" s="48"/>
      <c r="C116" s="48"/>
      <c r="D116" s="48"/>
      <c r="E116" s="48"/>
      <c r="F116" s="48"/>
      <c r="G116" s="48"/>
      <c r="H116" s="48"/>
      <c r="I116" s="48"/>
      <c r="J116" s="48"/>
      <c r="K116" s="48"/>
      <c r="L116" s="48"/>
      <c r="M116" s="48"/>
      <c r="N116" s="48"/>
      <c r="O116" s="48"/>
      <c r="P116" s="48"/>
    </row>
    <row r="117" spans="1:16" x14ac:dyDescent="0.2">
      <c r="A117" s="48"/>
      <c r="B117" s="48"/>
      <c r="C117" s="48"/>
      <c r="D117" s="48"/>
      <c r="E117" s="48"/>
      <c r="F117" s="48"/>
      <c r="G117" s="48"/>
      <c r="H117" s="48"/>
      <c r="I117" s="48"/>
      <c r="J117" s="48"/>
      <c r="K117" s="48"/>
      <c r="L117" s="48"/>
      <c r="M117" s="48"/>
      <c r="N117" s="48"/>
      <c r="O117" s="48"/>
      <c r="P117" s="48"/>
    </row>
    <row r="118" spans="1:16" x14ac:dyDescent="0.2">
      <c r="A118" s="48"/>
      <c r="B118" s="48"/>
      <c r="C118" s="48"/>
      <c r="D118" s="48"/>
      <c r="E118" s="48"/>
      <c r="F118" s="48"/>
      <c r="G118" s="48"/>
      <c r="H118" s="48"/>
      <c r="I118" s="48"/>
      <c r="J118" s="48"/>
      <c r="K118" s="48"/>
      <c r="L118" s="48"/>
      <c r="M118" s="48"/>
      <c r="N118" s="48"/>
      <c r="O118" s="48"/>
      <c r="P118" s="48"/>
    </row>
    <row r="119" spans="1:16" x14ac:dyDescent="0.2">
      <c r="A119" s="48"/>
      <c r="B119" s="48"/>
      <c r="C119" s="48"/>
      <c r="D119" s="48"/>
      <c r="E119" s="48"/>
      <c r="F119" s="48"/>
      <c r="G119" s="48"/>
      <c r="H119" s="48"/>
      <c r="I119" s="48"/>
      <c r="J119" s="48"/>
      <c r="K119" s="48"/>
      <c r="L119" s="48"/>
      <c r="M119" s="48"/>
      <c r="N119" s="48"/>
      <c r="O119" s="48"/>
      <c r="P119" s="48"/>
    </row>
    <row r="120" spans="1:16" x14ac:dyDescent="0.2">
      <c r="A120" s="48"/>
      <c r="B120" s="48"/>
      <c r="C120" s="48"/>
      <c r="D120" s="48"/>
      <c r="E120" s="48"/>
      <c r="F120" s="48"/>
      <c r="G120" s="48"/>
      <c r="H120" s="48"/>
      <c r="I120" s="48"/>
      <c r="J120" s="48"/>
      <c r="K120" s="48"/>
      <c r="L120" s="48"/>
      <c r="M120" s="48"/>
      <c r="N120" s="48"/>
      <c r="O120" s="48"/>
      <c r="P120" s="48"/>
    </row>
    <row r="121" spans="1:16" x14ac:dyDescent="0.2">
      <c r="A121" s="48"/>
      <c r="B121" s="48"/>
      <c r="C121" s="48"/>
      <c r="D121" s="48"/>
      <c r="E121" s="48"/>
      <c r="F121" s="48"/>
      <c r="G121" s="48"/>
      <c r="H121" s="48"/>
      <c r="I121" s="48"/>
      <c r="J121" s="48"/>
      <c r="K121" s="48"/>
      <c r="L121" s="48"/>
      <c r="M121" s="48"/>
      <c r="N121" s="48"/>
      <c r="O121" s="48"/>
      <c r="P121" s="48"/>
    </row>
    <row r="122" spans="1:16" x14ac:dyDescent="0.2">
      <c r="A122" s="48"/>
      <c r="B122" s="48"/>
      <c r="C122" s="48"/>
      <c r="D122" s="48"/>
      <c r="E122" s="48"/>
      <c r="F122" s="48"/>
      <c r="G122" s="48"/>
      <c r="H122" s="48"/>
      <c r="I122" s="48"/>
      <c r="J122" s="48"/>
      <c r="K122" s="48"/>
      <c r="L122" s="48"/>
      <c r="M122" s="48"/>
      <c r="N122" s="48"/>
      <c r="O122" s="48"/>
      <c r="P122" s="48"/>
    </row>
    <row r="123" spans="1:16" x14ac:dyDescent="0.2">
      <c r="A123" s="48"/>
      <c r="B123" s="48"/>
      <c r="C123" s="48"/>
      <c r="D123" s="48"/>
      <c r="E123" s="48"/>
      <c r="F123" s="48"/>
      <c r="G123" s="48"/>
      <c r="H123" s="48"/>
      <c r="I123" s="48"/>
      <c r="J123" s="48"/>
      <c r="K123" s="48"/>
      <c r="L123" s="48"/>
      <c r="M123" s="48"/>
      <c r="N123" s="48"/>
      <c r="O123" s="48"/>
      <c r="P123" s="48"/>
    </row>
    <row r="124" spans="1:16" x14ac:dyDescent="0.2">
      <c r="A124" s="48"/>
      <c r="B124" s="48"/>
      <c r="C124" s="48"/>
      <c r="D124" s="48"/>
      <c r="E124" s="48"/>
      <c r="F124" s="48"/>
      <c r="G124" s="48"/>
      <c r="H124" s="48"/>
      <c r="I124" s="48"/>
      <c r="J124" s="48"/>
      <c r="K124" s="48"/>
      <c r="L124" s="48"/>
      <c r="M124" s="48"/>
      <c r="N124" s="48"/>
      <c r="O124" s="48"/>
      <c r="P124" s="48"/>
    </row>
    <row r="125" spans="1:16" x14ac:dyDescent="0.2">
      <c r="A125" s="48"/>
      <c r="B125" s="48"/>
      <c r="C125" s="48"/>
      <c r="D125" s="48"/>
      <c r="E125" s="48"/>
      <c r="F125" s="48"/>
      <c r="G125" s="48"/>
      <c r="H125" s="48"/>
      <c r="I125" s="48"/>
      <c r="J125" s="48"/>
      <c r="K125" s="48"/>
      <c r="L125" s="48"/>
      <c r="M125" s="48"/>
      <c r="N125" s="48"/>
      <c r="O125" s="48"/>
      <c r="P125" s="48"/>
    </row>
  </sheetData>
  <mergeCells count="58">
    <mergeCell ref="C9:AI9"/>
    <mergeCell ref="C8:AI8"/>
    <mergeCell ref="C7:AI7"/>
    <mergeCell ref="C6:AI6"/>
    <mergeCell ref="Q36:T36"/>
    <mergeCell ref="E79:H79"/>
    <mergeCell ref="G14:H14"/>
    <mergeCell ref="G15:H15"/>
    <mergeCell ref="I14:J14"/>
    <mergeCell ref="I15:J15"/>
    <mergeCell ref="B14:F14"/>
    <mergeCell ref="B37:P37"/>
    <mergeCell ref="I53:J53"/>
    <mergeCell ref="M38:N38"/>
    <mergeCell ref="B38:D38"/>
    <mergeCell ref="E38:F38"/>
    <mergeCell ref="O38:P38"/>
    <mergeCell ref="G38:I38"/>
    <mergeCell ref="J38:L38"/>
    <mergeCell ref="B78:H78"/>
    <mergeCell ref="J95:L95"/>
    <mergeCell ref="A1:C1"/>
    <mergeCell ref="B59:D59"/>
    <mergeCell ref="E59:G59"/>
    <mergeCell ref="H59:J59"/>
    <mergeCell ref="B58:J58"/>
    <mergeCell ref="K58:N58"/>
    <mergeCell ref="B94:D94"/>
    <mergeCell ref="E94:H94"/>
    <mergeCell ref="J94:L94"/>
    <mergeCell ref="B79:D79"/>
    <mergeCell ref="J80:L80"/>
    <mergeCell ref="I78:L78"/>
    <mergeCell ref="J79:L79"/>
    <mergeCell ref="K59:N59"/>
    <mergeCell ref="K60:N60"/>
    <mergeCell ref="C10:AI10"/>
    <mergeCell ref="C11:AI11"/>
    <mergeCell ref="C33:AI33"/>
    <mergeCell ref="C34:AI34"/>
    <mergeCell ref="C32:AI32"/>
    <mergeCell ref="G13:Q13"/>
    <mergeCell ref="K14:M14"/>
    <mergeCell ref="K15:M15"/>
    <mergeCell ref="N14:O14"/>
    <mergeCell ref="N15:O15"/>
    <mergeCell ref="P14:Q14"/>
    <mergeCell ref="P15:Q15"/>
    <mergeCell ref="B15:D15"/>
    <mergeCell ref="E15:F15"/>
    <mergeCell ref="C55:AI55"/>
    <mergeCell ref="C56:AI56"/>
    <mergeCell ref="C75:AI75"/>
    <mergeCell ref="C76:AI76"/>
    <mergeCell ref="Q37:R37"/>
    <mergeCell ref="Q38:R38"/>
    <mergeCell ref="S37:T37"/>
    <mergeCell ref="S38:T38"/>
  </mergeCells>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BlackRock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Color Template</dc:title>
  <dc:subject/>
  <dc:creator>Isaacson, Douglas</dc:creator>
  <cp:keywords/>
  <dc:description/>
  <cp:lastModifiedBy>Birla, Manish</cp:lastModifiedBy>
  <cp:revision/>
  <dcterms:created xsi:type="dcterms:W3CDTF">2003-07-08T14:45:25Z</dcterms:created>
  <dcterms:modified xsi:type="dcterms:W3CDTF">2024-07-05T10:54:48Z</dcterms:modified>
  <cp:category/>
  <cp:contentStatus/>
</cp:coreProperties>
</file>